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asters\Thesis\THz_PCF_Thesis\"/>
    </mc:Choice>
  </mc:AlternateContent>
  <xr:revisionPtr revIDLastSave="0" documentId="8_{A420286F-54F5-40FC-A122-F44028CE7F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rameters" sheetId="1" r:id="rId1"/>
    <sheet name="Master_Data" sheetId="2" r:id="rId2"/>
    <sheet name="Pair_Discrimination" sheetId="3" r:id="rId3"/>
  </sheets>
  <calcPr calcId="191029"/>
</workbook>
</file>

<file path=xl/calcChain.xml><?xml version="1.0" encoding="utf-8"?>
<calcChain xmlns="http://schemas.openxmlformats.org/spreadsheetml/2006/main">
  <c r="D66" i="3" l="1"/>
  <c r="E66" i="3" s="1"/>
  <c r="C66" i="3"/>
  <c r="E65" i="3"/>
  <c r="D65" i="3"/>
  <c r="C65" i="3"/>
  <c r="D64" i="3"/>
  <c r="E64" i="3" s="1"/>
  <c r="C64" i="3"/>
  <c r="E63" i="3"/>
  <c r="D63" i="3"/>
  <c r="C63" i="3"/>
  <c r="D62" i="3"/>
  <c r="E62" i="3" s="1"/>
  <c r="C62" i="3"/>
  <c r="E61" i="3"/>
  <c r="D61" i="3"/>
  <c r="C61" i="3"/>
  <c r="D60" i="3"/>
  <c r="E60" i="3" s="1"/>
  <c r="C60" i="3"/>
  <c r="E59" i="3"/>
  <c r="D59" i="3"/>
  <c r="C59" i="3"/>
  <c r="D58" i="3"/>
  <c r="E58" i="3" s="1"/>
  <c r="C58" i="3"/>
  <c r="E57" i="3"/>
  <c r="D57" i="3"/>
  <c r="C57" i="3"/>
  <c r="D56" i="3"/>
  <c r="E56" i="3" s="1"/>
  <c r="C56" i="3"/>
  <c r="E55" i="3"/>
  <c r="D55" i="3"/>
  <c r="C55" i="3"/>
  <c r="D54" i="3"/>
  <c r="E54" i="3" s="1"/>
  <c r="C54" i="3"/>
  <c r="E53" i="3"/>
  <c r="D53" i="3"/>
  <c r="C53" i="3"/>
  <c r="D52" i="3"/>
  <c r="E52" i="3" s="1"/>
  <c r="C52" i="3"/>
  <c r="E51" i="3"/>
  <c r="D51" i="3"/>
  <c r="C51" i="3"/>
  <c r="D50" i="3"/>
  <c r="E50" i="3" s="1"/>
  <c r="C50" i="3"/>
  <c r="E49" i="3"/>
  <c r="D49" i="3"/>
  <c r="C49" i="3"/>
  <c r="D48" i="3"/>
  <c r="E48" i="3" s="1"/>
  <c r="C48" i="3"/>
  <c r="E47" i="3"/>
  <c r="D47" i="3"/>
  <c r="C47" i="3"/>
  <c r="D46" i="3"/>
  <c r="E46" i="3" s="1"/>
  <c r="C46" i="3"/>
  <c r="E45" i="3"/>
  <c r="D45" i="3"/>
  <c r="C45" i="3"/>
  <c r="D44" i="3"/>
  <c r="E44" i="3" s="1"/>
  <c r="C44" i="3"/>
  <c r="E43" i="3"/>
  <c r="D43" i="3"/>
  <c r="C43" i="3"/>
  <c r="D42" i="3"/>
  <c r="E42" i="3" s="1"/>
  <c r="C42" i="3"/>
  <c r="E41" i="3"/>
  <c r="D41" i="3"/>
  <c r="C41" i="3"/>
  <c r="D40" i="3"/>
  <c r="E40" i="3" s="1"/>
  <c r="C40" i="3"/>
  <c r="E39" i="3"/>
  <c r="D39" i="3"/>
  <c r="C39" i="3"/>
  <c r="D38" i="3"/>
  <c r="E38" i="3" s="1"/>
  <c r="C38" i="3"/>
  <c r="E37" i="3"/>
  <c r="D37" i="3"/>
  <c r="C37" i="3"/>
  <c r="D36" i="3"/>
  <c r="E36" i="3" s="1"/>
  <c r="C36" i="3"/>
  <c r="E35" i="3"/>
  <c r="D35" i="3"/>
  <c r="C35" i="3"/>
  <c r="D34" i="3"/>
  <c r="E34" i="3" s="1"/>
  <c r="C34" i="3"/>
  <c r="E33" i="3"/>
  <c r="D33" i="3"/>
  <c r="C33" i="3"/>
  <c r="D32" i="3"/>
  <c r="E32" i="3" s="1"/>
  <c r="C32" i="3"/>
  <c r="E31" i="3"/>
  <c r="D31" i="3"/>
  <c r="C31" i="3"/>
  <c r="D30" i="3"/>
  <c r="E30" i="3" s="1"/>
  <c r="C30" i="3"/>
  <c r="E29" i="3"/>
  <c r="D29" i="3"/>
  <c r="C29" i="3"/>
  <c r="D28" i="3"/>
  <c r="E28" i="3" s="1"/>
  <c r="C28" i="3"/>
  <c r="E27" i="3"/>
  <c r="D27" i="3"/>
  <c r="C27" i="3"/>
  <c r="D26" i="3"/>
  <c r="E26" i="3" s="1"/>
  <c r="C26" i="3"/>
  <c r="E25" i="3"/>
  <c r="D25" i="3"/>
  <c r="C25" i="3"/>
  <c r="D24" i="3"/>
  <c r="E24" i="3" s="1"/>
  <c r="C24" i="3"/>
  <c r="E23" i="3"/>
  <c r="D23" i="3"/>
  <c r="C23" i="3"/>
  <c r="D22" i="3"/>
  <c r="E22" i="3" s="1"/>
  <c r="C22" i="3"/>
  <c r="E21" i="3"/>
  <c r="D21" i="3"/>
  <c r="C21" i="3"/>
  <c r="D20" i="3"/>
  <c r="E20" i="3" s="1"/>
  <c r="C20" i="3"/>
  <c r="E19" i="3"/>
  <c r="D19" i="3"/>
  <c r="C19" i="3"/>
  <c r="D18" i="3"/>
  <c r="E18" i="3" s="1"/>
  <c r="C18" i="3"/>
  <c r="E17" i="3"/>
  <c r="D17" i="3"/>
  <c r="C17" i="3"/>
  <c r="D16" i="3"/>
  <c r="E16" i="3" s="1"/>
  <c r="C16" i="3"/>
  <c r="E15" i="3"/>
  <c r="D15" i="3"/>
  <c r="C15" i="3"/>
  <c r="D14" i="3"/>
  <c r="E14" i="3" s="1"/>
  <c r="C14" i="3"/>
  <c r="E13" i="3"/>
  <c r="D13" i="3"/>
  <c r="C13" i="3"/>
  <c r="D12" i="3"/>
  <c r="E12" i="3" s="1"/>
  <c r="C12" i="3"/>
  <c r="E11" i="3"/>
  <c r="D11" i="3"/>
  <c r="C11" i="3"/>
  <c r="D10" i="3"/>
  <c r="E10" i="3" s="1"/>
  <c r="C10" i="3"/>
  <c r="E9" i="3"/>
  <c r="D9" i="3"/>
  <c r="C9" i="3"/>
  <c r="D8" i="3"/>
  <c r="E8" i="3" s="1"/>
  <c r="C8" i="3"/>
  <c r="E7" i="3"/>
  <c r="D7" i="3"/>
  <c r="C7" i="3"/>
  <c r="D6" i="3"/>
  <c r="E6" i="3" s="1"/>
  <c r="C6" i="3"/>
  <c r="E5" i="3"/>
  <c r="D5" i="3"/>
  <c r="C5" i="3"/>
  <c r="D4" i="3"/>
  <c r="E4" i="3" s="1"/>
  <c r="C4" i="3"/>
  <c r="E3" i="3"/>
  <c r="D3" i="3"/>
  <c r="C3" i="3"/>
  <c r="D2" i="3"/>
  <c r="E2" i="3" s="1"/>
  <c r="C2" i="3"/>
  <c r="N131" i="2"/>
  <c r="M131" i="2"/>
  <c r="J131" i="2"/>
  <c r="L131" i="2" s="1"/>
  <c r="G66" i="3" s="1"/>
  <c r="N130" i="2"/>
  <c r="M130" i="2"/>
  <c r="J130" i="2"/>
  <c r="L130" i="2" s="1"/>
  <c r="G65" i="3" s="1"/>
  <c r="N129" i="2"/>
  <c r="M129" i="2"/>
  <c r="J129" i="2"/>
  <c r="N128" i="2"/>
  <c r="M128" i="2"/>
  <c r="L128" i="2"/>
  <c r="G63" i="3" s="1"/>
  <c r="K128" i="2"/>
  <c r="J128" i="2"/>
  <c r="N127" i="2"/>
  <c r="M127" i="2"/>
  <c r="L127" i="2"/>
  <c r="G62" i="3" s="1"/>
  <c r="J127" i="2"/>
  <c r="K127" i="2" s="1"/>
  <c r="N126" i="2"/>
  <c r="M126" i="2"/>
  <c r="J126" i="2"/>
  <c r="L126" i="2" s="1"/>
  <c r="G61" i="3" s="1"/>
  <c r="N125" i="2"/>
  <c r="M125" i="2"/>
  <c r="J125" i="2"/>
  <c r="N124" i="2"/>
  <c r="M124" i="2"/>
  <c r="L124" i="2"/>
  <c r="G59" i="3" s="1"/>
  <c r="K124" i="2"/>
  <c r="J124" i="2"/>
  <c r="N123" i="2"/>
  <c r="M123" i="2"/>
  <c r="L123" i="2"/>
  <c r="G58" i="3" s="1"/>
  <c r="J123" i="2"/>
  <c r="K123" i="2" s="1"/>
  <c r="N122" i="2"/>
  <c r="M122" i="2"/>
  <c r="J122" i="2"/>
  <c r="L122" i="2" s="1"/>
  <c r="G57" i="3" s="1"/>
  <c r="N121" i="2"/>
  <c r="M121" i="2"/>
  <c r="J121" i="2"/>
  <c r="N120" i="2"/>
  <c r="M120" i="2"/>
  <c r="L120" i="2"/>
  <c r="G55" i="3" s="1"/>
  <c r="K120" i="2"/>
  <c r="J120" i="2"/>
  <c r="N119" i="2"/>
  <c r="M119" i="2"/>
  <c r="L119" i="2"/>
  <c r="G54" i="3" s="1"/>
  <c r="J119" i="2"/>
  <c r="K119" i="2" s="1"/>
  <c r="N118" i="2"/>
  <c r="M118" i="2"/>
  <c r="J118" i="2"/>
  <c r="L118" i="2" s="1"/>
  <c r="F66" i="3" s="1"/>
  <c r="N117" i="2"/>
  <c r="M117" i="2"/>
  <c r="J117" i="2"/>
  <c r="N116" i="2"/>
  <c r="M116" i="2"/>
  <c r="L116" i="2"/>
  <c r="F64" i="3" s="1"/>
  <c r="K116" i="2"/>
  <c r="J116" i="2"/>
  <c r="N115" i="2"/>
  <c r="M115" i="2"/>
  <c r="L115" i="2"/>
  <c r="F63" i="3" s="1"/>
  <c r="J115" i="2"/>
  <c r="K115" i="2" s="1"/>
  <c r="N114" i="2"/>
  <c r="M114" i="2"/>
  <c r="J114" i="2"/>
  <c r="L114" i="2" s="1"/>
  <c r="F62" i="3" s="1"/>
  <c r="N113" i="2"/>
  <c r="M113" i="2"/>
  <c r="J113" i="2"/>
  <c r="N112" i="2"/>
  <c r="M112" i="2"/>
  <c r="K112" i="2"/>
  <c r="J112" i="2"/>
  <c r="L112" i="2" s="1"/>
  <c r="F60" i="3" s="1"/>
  <c r="N111" i="2"/>
  <c r="M111" i="2"/>
  <c r="L111" i="2"/>
  <c r="F59" i="3" s="1"/>
  <c r="J111" i="2"/>
  <c r="K111" i="2" s="1"/>
  <c r="N110" i="2"/>
  <c r="M110" i="2"/>
  <c r="J110" i="2"/>
  <c r="L110" i="2" s="1"/>
  <c r="F58" i="3" s="1"/>
  <c r="N109" i="2"/>
  <c r="M109" i="2"/>
  <c r="J109" i="2"/>
  <c r="N108" i="2"/>
  <c r="M108" i="2"/>
  <c r="K108" i="2"/>
  <c r="J108" i="2"/>
  <c r="L108" i="2" s="1"/>
  <c r="F56" i="3" s="1"/>
  <c r="N107" i="2"/>
  <c r="M107" i="2"/>
  <c r="L107" i="2"/>
  <c r="F55" i="3" s="1"/>
  <c r="J107" i="2"/>
  <c r="K107" i="2" s="1"/>
  <c r="N106" i="2"/>
  <c r="M106" i="2"/>
  <c r="J106" i="2"/>
  <c r="L106" i="2" s="1"/>
  <c r="F54" i="3" s="1"/>
  <c r="N105" i="2"/>
  <c r="M105" i="2"/>
  <c r="J105" i="2"/>
  <c r="N104" i="2"/>
  <c r="M104" i="2"/>
  <c r="K104" i="2"/>
  <c r="J104" i="2"/>
  <c r="L104" i="2" s="1"/>
  <c r="G52" i="3" s="1"/>
  <c r="N103" i="2"/>
  <c r="M103" i="2"/>
  <c r="L103" i="2"/>
  <c r="G51" i="3" s="1"/>
  <c r="J103" i="2"/>
  <c r="K103" i="2" s="1"/>
  <c r="N102" i="2"/>
  <c r="M102" i="2"/>
  <c r="J102" i="2"/>
  <c r="L102" i="2" s="1"/>
  <c r="G50" i="3" s="1"/>
  <c r="N101" i="2"/>
  <c r="M101" i="2"/>
  <c r="J101" i="2"/>
  <c r="N100" i="2"/>
  <c r="M100" i="2"/>
  <c r="K100" i="2"/>
  <c r="J100" i="2"/>
  <c r="L100" i="2" s="1"/>
  <c r="G48" i="3" s="1"/>
  <c r="N99" i="2"/>
  <c r="M99" i="2"/>
  <c r="L99" i="2"/>
  <c r="G47" i="3" s="1"/>
  <c r="J99" i="2"/>
  <c r="K99" i="2" s="1"/>
  <c r="N98" i="2"/>
  <c r="M98" i="2"/>
  <c r="J98" i="2"/>
  <c r="L98" i="2" s="1"/>
  <c r="G46" i="3" s="1"/>
  <c r="H46" i="3" s="1"/>
  <c r="N97" i="2"/>
  <c r="M97" i="2"/>
  <c r="J97" i="2"/>
  <c r="N96" i="2"/>
  <c r="M96" i="2"/>
  <c r="K96" i="2"/>
  <c r="J96" i="2"/>
  <c r="L96" i="2" s="1"/>
  <c r="G44" i="3" s="1"/>
  <c r="N95" i="2"/>
  <c r="M95" i="2"/>
  <c r="L95" i="2"/>
  <c r="G43" i="3" s="1"/>
  <c r="J95" i="2"/>
  <c r="K95" i="2" s="1"/>
  <c r="N94" i="2"/>
  <c r="M94" i="2"/>
  <c r="K94" i="2"/>
  <c r="J94" i="2"/>
  <c r="L94" i="2" s="1"/>
  <c r="G42" i="3" s="1"/>
  <c r="N93" i="2"/>
  <c r="M93" i="2"/>
  <c r="J93" i="2"/>
  <c r="N92" i="2"/>
  <c r="M92" i="2"/>
  <c r="K92" i="2"/>
  <c r="J92" i="2"/>
  <c r="L92" i="2" s="1"/>
  <c r="F53" i="3" s="1"/>
  <c r="N91" i="2"/>
  <c r="M91" i="2"/>
  <c r="L91" i="2"/>
  <c r="F52" i="3" s="1"/>
  <c r="J91" i="2"/>
  <c r="K91" i="2" s="1"/>
  <c r="N90" i="2"/>
  <c r="M90" i="2"/>
  <c r="K90" i="2"/>
  <c r="J90" i="2"/>
  <c r="L90" i="2" s="1"/>
  <c r="F51" i="3" s="1"/>
  <c r="N89" i="2"/>
  <c r="M89" i="2"/>
  <c r="J89" i="2"/>
  <c r="N88" i="2"/>
  <c r="M88" i="2"/>
  <c r="K88" i="2"/>
  <c r="J88" i="2"/>
  <c r="L88" i="2" s="1"/>
  <c r="F49" i="3" s="1"/>
  <c r="N87" i="2"/>
  <c r="M87" i="2"/>
  <c r="L87" i="2"/>
  <c r="F48" i="3" s="1"/>
  <c r="J87" i="2"/>
  <c r="K87" i="2" s="1"/>
  <c r="N86" i="2"/>
  <c r="M86" i="2"/>
  <c r="L86" i="2"/>
  <c r="F47" i="3" s="1"/>
  <c r="K86" i="2"/>
  <c r="J86" i="2"/>
  <c r="N85" i="2"/>
  <c r="M85" i="2"/>
  <c r="L85" i="2"/>
  <c r="F46" i="3" s="1"/>
  <c r="J85" i="2"/>
  <c r="K85" i="2" s="1"/>
  <c r="N84" i="2"/>
  <c r="M84" i="2"/>
  <c r="J84" i="2"/>
  <c r="L84" i="2" s="1"/>
  <c r="F45" i="3" s="1"/>
  <c r="N83" i="2"/>
  <c r="M83" i="2"/>
  <c r="K83" i="2"/>
  <c r="J83" i="2"/>
  <c r="L83" i="2" s="1"/>
  <c r="F44" i="3" s="1"/>
  <c r="N82" i="2"/>
  <c r="M82" i="2"/>
  <c r="L82" i="2"/>
  <c r="F43" i="3" s="1"/>
  <c r="K82" i="2"/>
  <c r="J82" i="2"/>
  <c r="N81" i="2"/>
  <c r="M81" i="2"/>
  <c r="L81" i="2"/>
  <c r="F42" i="3" s="1"/>
  <c r="J81" i="2"/>
  <c r="K81" i="2" s="1"/>
  <c r="N80" i="2"/>
  <c r="M80" i="2"/>
  <c r="J80" i="2"/>
  <c r="L80" i="2" s="1"/>
  <c r="F41" i="3" s="1"/>
  <c r="N79" i="2"/>
  <c r="M79" i="2"/>
  <c r="K79" i="2"/>
  <c r="J79" i="2"/>
  <c r="L79" i="2" s="1"/>
  <c r="G40" i="3" s="1"/>
  <c r="H40" i="3" s="1"/>
  <c r="N78" i="2"/>
  <c r="M78" i="2"/>
  <c r="L78" i="2"/>
  <c r="G39" i="3" s="1"/>
  <c r="K78" i="2"/>
  <c r="J78" i="2"/>
  <c r="N77" i="2"/>
  <c r="M77" i="2"/>
  <c r="L77" i="2"/>
  <c r="G38" i="3" s="1"/>
  <c r="J77" i="2"/>
  <c r="K77" i="2" s="1"/>
  <c r="N76" i="2"/>
  <c r="M76" i="2"/>
  <c r="J76" i="2"/>
  <c r="L76" i="2" s="1"/>
  <c r="G37" i="3" s="1"/>
  <c r="H37" i="3" s="1"/>
  <c r="N75" i="2"/>
  <c r="M75" i="2"/>
  <c r="K75" i="2"/>
  <c r="J75" i="2"/>
  <c r="L75" i="2" s="1"/>
  <c r="G36" i="3" s="1"/>
  <c r="H36" i="3" s="1"/>
  <c r="N74" i="2"/>
  <c r="M74" i="2"/>
  <c r="L74" i="2"/>
  <c r="G35" i="3" s="1"/>
  <c r="K74" i="2"/>
  <c r="J74" i="2"/>
  <c r="N73" i="2"/>
  <c r="M73" i="2"/>
  <c r="L73" i="2"/>
  <c r="G34" i="3" s="1"/>
  <c r="J73" i="2"/>
  <c r="K73" i="2" s="1"/>
  <c r="N72" i="2"/>
  <c r="M72" i="2"/>
  <c r="J72" i="2"/>
  <c r="L72" i="2" s="1"/>
  <c r="G33" i="3" s="1"/>
  <c r="H33" i="3" s="1"/>
  <c r="N71" i="2"/>
  <c r="M71" i="2"/>
  <c r="K71" i="2"/>
  <c r="J71" i="2"/>
  <c r="L71" i="2" s="1"/>
  <c r="G32" i="3" s="1"/>
  <c r="H32" i="3" s="1"/>
  <c r="N70" i="2"/>
  <c r="M70" i="2"/>
  <c r="L70" i="2"/>
  <c r="G31" i="3" s="1"/>
  <c r="K70" i="2"/>
  <c r="J70" i="2"/>
  <c r="N69" i="2"/>
  <c r="M69" i="2"/>
  <c r="J69" i="2"/>
  <c r="L69" i="2" s="1"/>
  <c r="G30" i="3" s="1"/>
  <c r="N68" i="2"/>
  <c r="M68" i="2"/>
  <c r="J68" i="2"/>
  <c r="L68" i="2" s="1"/>
  <c r="G29" i="3" s="1"/>
  <c r="H29" i="3" s="1"/>
  <c r="N67" i="2"/>
  <c r="M67" i="2"/>
  <c r="K67" i="2"/>
  <c r="J67" i="2"/>
  <c r="L67" i="2" s="1"/>
  <c r="G28" i="3" s="1"/>
  <c r="H28" i="3" s="1"/>
  <c r="N66" i="2"/>
  <c r="M66" i="2"/>
  <c r="L66" i="2"/>
  <c r="F40" i="3" s="1"/>
  <c r="K66" i="2"/>
  <c r="J66" i="2"/>
  <c r="N65" i="2"/>
  <c r="M65" i="2"/>
  <c r="J65" i="2"/>
  <c r="L65" i="2" s="1"/>
  <c r="F39" i="3" s="1"/>
  <c r="N64" i="2"/>
  <c r="M64" i="2"/>
  <c r="J64" i="2"/>
  <c r="L64" i="2" s="1"/>
  <c r="F38" i="3" s="1"/>
  <c r="N63" i="2"/>
  <c r="M63" i="2"/>
  <c r="K63" i="2"/>
  <c r="J63" i="2"/>
  <c r="L63" i="2" s="1"/>
  <c r="F37" i="3" s="1"/>
  <c r="N62" i="2"/>
  <c r="M62" i="2"/>
  <c r="L62" i="2"/>
  <c r="F36" i="3" s="1"/>
  <c r="K62" i="2"/>
  <c r="J62" i="2"/>
  <c r="N61" i="2"/>
  <c r="M61" i="2"/>
  <c r="J61" i="2"/>
  <c r="L61" i="2" s="1"/>
  <c r="F35" i="3" s="1"/>
  <c r="N60" i="2"/>
  <c r="M60" i="2"/>
  <c r="J60" i="2"/>
  <c r="L60" i="2" s="1"/>
  <c r="F34" i="3" s="1"/>
  <c r="N59" i="2"/>
  <c r="M59" i="2"/>
  <c r="L59" i="2"/>
  <c r="F33" i="3" s="1"/>
  <c r="K59" i="2"/>
  <c r="J59" i="2"/>
  <c r="N58" i="2"/>
  <c r="M58" i="2"/>
  <c r="L58" i="2"/>
  <c r="F32" i="3" s="1"/>
  <c r="J58" i="2"/>
  <c r="K58" i="2" s="1"/>
  <c r="N57" i="2"/>
  <c r="M57" i="2"/>
  <c r="J57" i="2"/>
  <c r="L57" i="2" s="1"/>
  <c r="F31" i="3" s="1"/>
  <c r="N56" i="2"/>
  <c r="M56" i="2"/>
  <c r="J56" i="2"/>
  <c r="L56" i="2" s="1"/>
  <c r="F30" i="3" s="1"/>
  <c r="N55" i="2"/>
  <c r="M55" i="2"/>
  <c r="L55" i="2"/>
  <c r="F29" i="3" s="1"/>
  <c r="K55" i="2"/>
  <c r="J55" i="2"/>
  <c r="N54" i="2"/>
  <c r="M54" i="2"/>
  <c r="L54" i="2"/>
  <c r="F28" i="3" s="1"/>
  <c r="J54" i="2"/>
  <c r="K54" i="2" s="1"/>
  <c r="N53" i="2"/>
  <c r="M53" i="2"/>
  <c r="J53" i="2"/>
  <c r="L53" i="2" s="1"/>
  <c r="G27" i="3" s="1"/>
  <c r="N52" i="2"/>
  <c r="M52" i="2"/>
  <c r="J52" i="2"/>
  <c r="L52" i="2" s="1"/>
  <c r="G26" i="3" s="1"/>
  <c r="H26" i="3" s="1"/>
  <c r="N51" i="2"/>
  <c r="M51" i="2"/>
  <c r="L51" i="2"/>
  <c r="G25" i="3" s="1"/>
  <c r="K51" i="2"/>
  <c r="J51" i="2"/>
  <c r="N50" i="2"/>
  <c r="M50" i="2"/>
  <c r="L50" i="2"/>
  <c r="G24" i="3" s="1"/>
  <c r="J50" i="2"/>
  <c r="K50" i="2" s="1"/>
  <c r="N49" i="2"/>
  <c r="M49" i="2"/>
  <c r="J49" i="2"/>
  <c r="L49" i="2" s="1"/>
  <c r="G23" i="3" s="1"/>
  <c r="N48" i="2"/>
  <c r="M48" i="2"/>
  <c r="J48" i="2"/>
  <c r="L48" i="2" s="1"/>
  <c r="G22" i="3" s="1"/>
  <c r="H22" i="3" s="1"/>
  <c r="N47" i="2"/>
  <c r="M47" i="2"/>
  <c r="L47" i="2"/>
  <c r="G21" i="3" s="1"/>
  <c r="K47" i="2"/>
  <c r="J47" i="2"/>
  <c r="N46" i="2"/>
  <c r="M46" i="2"/>
  <c r="L46" i="2"/>
  <c r="G20" i="3" s="1"/>
  <c r="J46" i="2"/>
  <c r="K46" i="2" s="1"/>
  <c r="N45" i="2"/>
  <c r="M45" i="2"/>
  <c r="J45" i="2"/>
  <c r="L45" i="2" s="1"/>
  <c r="G19" i="3" s="1"/>
  <c r="N44" i="2"/>
  <c r="M44" i="2"/>
  <c r="J44" i="2"/>
  <c r="L44" i="2" s="1"/>
  <c r="G18" i="3" s="1"/>
  <c r="H18" i="3" s="1"/>
  <c r="N43" i="2"/>
  <c r="M43" i="2"/>
  <c r="L43" i="2"/>
  <c r="G17" i="3" s="1"/>
  <c r="K43" i="2"/>
  <c r="J43" i="2"/>
  <c r="N42" i="2"/>
  <c r="M42" i="2"/>
  <c r="L42" i="2"/>
  <c r="G16" i="3" s="1"/>
  <c r="J42" i="2"/>
  <c r="K42" i="2" s="1"/>
  <c r="N41" i="2"/>
  <c r="M41" i="2"/>
  <c r="J41" i="2"/>
  <c r="L41" i="2" s="1"/>
  <c r="G15" i="3" s="1"/>
  <c r="N40" i="2"/>
  <c r="M40" i="2"/>
  <c r="J40" i="2"/>
  <c r="L40" i="2" s="1"/>
  <c r="F27" i="3" s="1"/>
  <c r="N39" i="2"/>
  <c r="M39" i="2"/>
  <c r="L39" i="2"/>
  <c r="F26" i="3" s="1"/>
  <c r="K39" i="2"/>
  <c r="J39" i="2"/>
  <c r="N38" i="2"/>
  <c r="M38" i="2"/>
  <c r="L38" i="2"/>
  <c r="F25" i="3" s="1"/>
  <c r="J38" i="2"/>
  <c r="K38" i="2" s="1"/>
  <c r="N37" i="2"/>
  <c r="M37" i="2"/>
  <c r="J37" i="2"/>
  <c r="L37" i="2" s="1"/>
  <c r="F24" i="3" s="1"/>
  <c r="N36" i="2"/>
  <c r="M36" i="2"/>
  <c r="J36" i="2"/>
  <c r="L36" i="2" s="1"/>
  <c r="F23" i="3" s="1"/>
  <c r="N35" i="2"/>
  <c r="M35" i="2"/>
  <c r="L35" i="2"/>
  <c r="F22" i="3" s="1"/>
  <c r="K35" i="2"/>
  <c r="J35" i="2"/>
  <c r="N34" i="2"/>
  <c r="M34" i="2"/>
  <c r="L34" i="2"/>
  <c r="F21" i="3" s="1"/>
  <c r="J34" i="2"/>
  <c r="K34" i="2" s="1"/>
  <c r="N33" i="2"/>
  <c r="M33" i="2"/>
  <c r="J33" i="2"/>
  <c r="L33" i="2" s="1"/>
  <c r="F20" i="3" s="1"/>
  <c r="N32" i="2"/>
  <c r="M32" i="2"/>
  <c r="J32" i="2"/>
  <c r="L32" i="2" s="1"/>
  <c r="F19" i="3" s="1"/>
  <c r="N31" i="2"/>
  <c r="M31" i="2"/>
  <c r="L31" i="2"/>
  <c r="F18" i="3" s="1"/>
  <c r="K31" i="2"/>
  <c r="J31" i="2"/>
  <c r="N30" i="2"/>
  <c r="M30" i="2"/>
  <c r="L30" i="2"/>
  <c r="F17" i="3" s="1"/>
  <c r="J30" i="2"/>
  <c r="K30" i="2" s="1"/>
  <c r="N29" i="2"/>
  <c r="M29" i="2"/>
  <c r="J29" i="2"/>
  <c r="L29" i="2" s="1"/>
  <c r="F16" i="3" s="1"/>
  <c r="N28" i="2"/>
  <c r="M28" i="2"/>
  <c r="J28" i="2"/>
  <c r="L28" i="2" s="1"/>
  <c r="F15" i="3" s="1"/>
  <c r="N27" i="2"/>
  <c r="M27" i="2"/>
  <c r="L27" i="2"/>
  <c r="G14" i="3" s="1"/>
  <c r="K27" i="2"/>
  <c r="J27" i="2"/>
  <c r="N26" i="2"/>
  <c r="M26" i="2"/>
  <c r="L26" i="2"/>
  <c r="G13" i="3" s="1"/>
  <c r="J26" i="2"/>
  <c r="K26" i="2" s="1"/>
  <c r="N25" i="2"/>
  <c r="M25" i="2"/>
  <c r="J25" i="2"/>
  <c r="L25" i="2" s="1"/>
  <c r="G12" i="3" s="1"/>
  <c r="N24" i="2"/>
  <c r="M24" i="2"/>
  <c r="J24" i="2"/>
  <c r="L24" i="2" s="1"/>
  <c r="G11" i="3" s="1"/>
  <c r="H11" i="3" s="1"/>
  <c r="N23" i="2"/>
  <c r="M23" i="2"/>
  <c r="L23" i="2"/>
  <c r="G10" i="3" s="1"/>
  <c r="K23" i="2"/>
  <c r="J23" i="2"/>
  <c r="N22" i="2"/>
  <c r="M22" i="2"/>
  <c r="L22" i="2"/>
  <c r="G9" i="3" s="1"/>
  <c r="J22" i="2"/>
  <c r="K22" i="2" s="1"/>
  <c r="N21" i="2"/>
  <c r="M21" i="2"/>
  <c r="J21" i="2"/>
  <c r="L21" i="2" s="1"/>
  <c r="G8" i="3" s="1"/>
  <c r="N20" i="2"/>
  <c r="M20" i="2"/>
  <c r="J20" i="2"/>
  <c r="L20" i="2" s="1"/>
  <c r="G7" i="3" s="1"/>
  <c r="H7" i="3" s="1"/>
  <c r="N19" i="2"/>
  <c r="M19" i="2"/>
  <c r="L19" i="2"/>
  <c r="G6" i="3" s="1"/>
  <c r="K19" i="2"/>
  <c r="J19" i="2"/>
  <c r="N18" i="2"/>
  <c r="M18" i="2"/>
  <c r="L18" i="2"/>
  <c r="G5" i="3" s="1"/>
  <c r="J18" i="2"/>
  <c r="K18" i="2" s="1"/>
  <c r="N17" i="2"/>
  <c r="M17" i="2"/>
  <c r="J17" i="2"/>
  <c r="L17" i="2" s="1"/>
  <c r="G4" i="3" s="1"/>
  <c r="N16" i="2"/>
  <c r="M16" i="2"/>
  <c r="J16" i="2"/>
  <c r="L16" i="2" s="1"/>
  <c r="G3" i="3" s="1"/>
  <c r="H3" i="3" s="1"/>
  <c r="N15" i="2"/>
  <c r="M15" i="2"/>
  <c r="L15" i="2"/>
  <c r="G2" i="3" s="1"/>
  <c r="K15" i="2"/>
  <c r="J15" i="2"/>
  <c r="N14" i="2"/>
  <c r="M14" i="2"/>
  <c r="L14" i="2"/>
  <c r="F14" i="3" s="1"/>
  <c r="J14" i="2"/>
  <c r="K14" i="2" s="1"/>
  <c r="N13" i="2"/>
  <c r="M13" i="2"/>
  <c r="J13" i="2"/>
  <c r="L13" i="2" s="1"/>
  <c r="F13" i="3" s="1"/>
  <c r="N12" i="2"/>
  <c r="M12" i="2"/>
  <c r="J12" i="2"/>
  <c r="K12" i="2" s="1"/>
  <c r="N11" i="2"/>
  <c r="M11" i="2"/>
  <c r="L11" i="2"/>
  <c r="F11" i="3" s="1"/>
  <c r="K11" i="2"/>
  <c r="J11" i="2"/>
  <c r="N10" i="2"/>
  <c r="M10" i="2"/>
  <c r="L10" i="2"/>
  <c r="F10" i="3" s="1"/>
  <c r="J10" i="2"/>
  <c r="K10" i="2" s="1"/>
  <c r="N9" i="2"/>
  <c r="M9" i="2"/>
  <c r="J9" i="2"/>
  <c r="L9" i="2" s="1"/>
  <c r="F9" i="3" s="1"/>
  <c r="N8" i="2"/>
  <c r="M8" i="2"/>
  <c r="J8" i="2"/>
  <c r="L8" i="2" s="1"/>
  <c r="F8" i="3" s="1"/>
  <c r="N7" i="2"/>
  <c r="M7" i="2"/>
  <c r="L7" i="2"/>
  <c r="F7" i="3" s="1"/>
  <c r="K7" i="2"/>
  <c r="J7" i="2"/>
  <c r="N6" i="2"/>
  <c r="M6" i="2"/>
  <c r="L6" i="2"/>
  <c r="F6" i="3" s="1"/>
  <c r="J6" i="2"/>
  <c r="K6" i="2" s="1"/>
  <c r="N5" i="2"/>
  <c r="M5" i="2"/>
  <c r="J5" i="2"/>
  <c r="L5" i="2" s="1"/>
  <c r="F5" i="3" s="1"/>
  <c r="N4" i="2"/>
  <c r="M4" i="2"/>
  <c r="J4" i="2"/>
  <c r="L4" i="2" s="1"/>
  <c r="F4" i="3" s="1"/>
  <c r="N3" i="2"/>
  <c r="M3" i="2"/>
  <c r="L3" i="2"/>
  <c r="F3" i="3" s="1"/>
  <c r="K3" i="2"/>
  <c r="J3" i="2"/>
  <c r="N2" i="2"/>
  <c r="M2" i="2"/>
  <c r="L2" i="2"/>
  <c r="F2" i="3" s="1"/>
  <c r="J2" i="2"/>
  <c r="K2" i="2" s="1"/>
  <c r="H8" i="3" l="1"/>
  <c r="H27" i="3"/>
  <c r="H4" i="3"/>
  <c r="H23" i="3"/>
  <c r="H19" i="3"/>
  <c r="H15" i="3"/>
  <c r="H30" i="3"/>
  <c r="H5" i="3"/>
  <c r="H16" i="3"/>
  <c r="H20" i="3"/>
  <c r="H39" i="3"/>
  <c r="L117" i="2"/>
  <c r="F65" i="3" s="1"/>
  <c r="K117" i="2"/>
  <c r="H55" i="3"/>
  <c r="K4" i="2"/>
  <c r="K8" i="2"/>
  <c r="H6" i="3"/>
  <c r="K20" i="2"/>
  <c r="H10" i="3"/>
  <c r="K24" i="2"/>
  <c r="H14" i="3"/>
  <c r="K28" i="2"/>
  <c r="K32" i="2"/>
  <c r="K36" i="2"/>
  <c r="K40" i="2"/>
  <c r="H17" i="3"/>
  <c r="K44" i="2"/>
  <c r="H21" i="3"/>
  <c r="K48" i="2"/>
  <c r="H25" i="3"/>
  <c r="K52" i="2"/>
  <c r="K56" i="2"/>
  <c r="K60" i="2"/>
  <c r="K64" i="2"/>
  <c r="K68" i="2"/>
  <c r="K72" i="2"/>
  <c r="K76" i="2"/>
  <c r="K80" i="2"/>
  <c r="K84" i="2"/>
  <c r="H42" i="3"/>
  <c r="H44" i="3"/>
  <c r="L97" i="2"/>
  <c r="G45" i="3" s="1"/>
  <c r="H45" i="3" s="1"/>
  <c r="K97" i="2"/>
  <c r="H52" i="3"/>
  <c r="L105" i="2"/>
  <c r="G53" i="3" s="1"/>
  <c r="H53" i="3" s="1"/>
  <c r="K105" i="2"/>
  <c r="L113" i="2"/>
  <c r="F61" i="3" s="1"/>
  <c r="K113" i="2"/>
  <c r="H61" i="3"/>
  <c r="H62" i="3"/>
  <c r="L129" i="2"/>
  <c r="G64" i="3" s="1"/>
  <c r="H64" i="3" s="1"/>
  <c r="K129" i="2"/>
  <c r="H35" i="3"/>
  <c r="K16" i="2"/>
  <c r="L12" i="2"/>
  <c r="F12" i="3" s="1"/>
  <c r="H12" i="3" s="1"/>
  <c r="K13" i="2"/>
  <c r="K17" i="2"/>
  <c r="K21" i="2"/>
  <c r="K25" i="2"/>
  <c r="K29" i="2"/>
  <c r="K33" i="2"/>
  <c r="K37" i="2"/>
  <c r="K41" i="2"/>
  <c r="K45" i="2"/>
  <c r="K49" i="2"/>
  <c r="K53" i="2"/>
  <c r="K57" i="2"/>
  <c r="K61" i="2"/>
  <c r="K65" i="2"/>
  <c r="K69" i="2"/>
  <c r="L93" i="2"/>
  <c r="G41" i="3" s="1"/>
  <c r="H41" i="3" s="1"/>
  <c r="K93" i="2"/>
  <c r="H43" i="3"/>
  <c r="H50" i="3"/>
  <c r="H51" i="3"/>
  <c r="H58" i="3"/>
  <c r="L125" i="2"/>
  <c r="G60" i="3" s="1"/>
  <c r="H60" i="3" s="1"/>
  <c r="K125" i="2"/>
  <c r="H63" i="3"/>
  <c r="H9" i="3"/>
  <c r="H13" i="3"/>
  <c r="H24" i="3"/>
  <c r="H31" i="3"/>
  <c r="H47" i="3"/>
  <c r="H65" i="3"/>
  <c r="H2" i="3"/>
  <c r="K5" i="2"/>
  <c r="K9" i="2"/>
  <c r="H34" i="3"/>
  <c r="H38" i="3"/>
  <c r="L89" i="2"/>
  <c r="F50" i="3" s="1"/>
  <c r="K89" i="2"/>
  <c r="H48" i="3"/>
  <c r="L101" i="2"/>
  <c r="G49" i="3" s="1"/>
  <c r="H49" i="3" s="1"/>
  <c r="K101" i="2"/>
  <c r="L109" i="2"/>
  <c r="F57" i="3" s="1"/>
  <c r="H57" i="3" s="1"/>
  <c r="K109" i="2"/>
  <c r="H54" i="3"/>
  <c r="L121" i="2"/>
  <c r="G56" i="3" s="1"/>
  <c r="H56" i="3" s="1"/>
  <c r="K121" i="2"/>
  <c r="H59" i="3"/>
  <c r="H66" i="3"/>
  <c r="K98" i="2"/>
  <c r="K102" i="2"/>
  <c r="K106" i="2"/>
  <c r="K110" i="2"/>
  <c r="K114" i="2"/>
  <c r="K118" i="2"/>
  <c r="K122" i="2"/>
  <c r="K126" i="2"/>
  <c r="K130" i="2"/>
  <c r="K131" i="2"/>
</calcChain>
</file>

<file path=xl/sharedStrings.xml><?xml version="1.0" encoding="utf-8"?>
<sst xmlns="http://schemas.openxmlformats.org/spreadsheetml/2006/main" count="366" uniqueCount="46">
  <si>
    <t>Parameter</t>
  </si>
  <si>
    <t>Value</t>
  </si>
  <si>
    <t>Notes</t>
  </si>
  <si>
    <t>Speed of light c (m/s)</t>
  </si>
  <si>
    <t>Source: user's ten COMSOL-exported Excel files</t>
  </si>
  <si>
    <t>Blood healthy RI</t>
  </si>
  <si>
    <t>Final frequency grid used: 0.8–3.2 THz in 0.2 THz steps</t>
  </si>
  <si>
    <t>Blood cancer RI</t>
  </si>
  <si>
    <t>The duplicate 'lambda' column in source files is intentionally ignored.</t>
  </si>
  <si>
    <t>Breast1 healthy RI</t>
  </si>
  <si>
    <t>Birefringence, EML, and y-polarized analysis are outside the finalized scope.</t>
  </si>
  <si>
    <t>Breast1 cancer RI</t>
  </si>
  <si>
    <t>Breast2 healthy RI</t>
  </si>
  <si>
    <t>Breast2 cancer RI</t>
  </si>
  <si>
    <t>Cervical healthy RI</t>
  </si>
  <si>
    <t>Cervical cancer RI</t>
  </si>
  <si>
    <t>Skin healthy RI</t>
  </si>
  <si>
    <t>Skin cancer RI</t>
  </si>
  <si>
    <t>THz to Hz factor</t>
  </si>
  <si>
    <t>Cell type</t>
  </si>
  <si>
    <t>Status</t>
  </si>
  <si>
    <t>RI</t>
  </si>
  <si>
    <t>Frequency (THz)</t>
  </si>
  <si>
    <t>Re(neff)</t>
  </si>
  <si>
    <t>Im(neff)</t>
  </si>
  <si>
    <t>Pcore (W)</t>
  </si>
  <si>
    <t>Ptotal (W)</t>
  </si>
  <si>
    <t>Aeff (m^2)</t>
  </si>
  <si>
    <t>Pfrac</t>
  </si>
  <si>
    <t>TPF (%)</t>
  </si>
  <si>
    <t>RS (%)</t>
  </si>
  <si>
    <t>CL (dB/m)</t>
  </si>
  <si>
    <t>NA</t>
  </si>
  <si>
    <t>Blood</t>
  </si>
  <si>
    <t>Healthy</t>
  </si>
  <si>
    <t>Cancerous</t>
  </si>
  <si>
    <t>Breast type 1</t>
  </si>
  <si>
    <t>Breast type 2</t>
  </si>
  <si>
    <t>Cervical</t>
  </si>
  <si>
    <t>Skin</t>
  </si>
  <si>
    <t>Healthy Re(neff)</t>
  </si>
  <si>
    <t>Cancerous Re(neff)</t>
  </si>
  <si>
    <t>Δneff</t>
  </si>
  <si>
    <t>Healthy RS (%)</t>
  </si>
  <si>
    <t>Cancerous RS (%)</t>
  </si>
  <si>
    <t>ΔRS (percentage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</si>
</sst>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"/>
    <numFmt numFmtId="167" formatCode="0.000E+00"/>
    <numFmt numFmtId="168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3.8"/>
  <cols>
    <col min="1" max="1" width="16.3984375" customWidth="1"/>
    <col min="2" max="2" width="17.19921875" customWidth="1"/>
    <col min="4" max="4" width="45" customWidth="1"/>
  </cols>
  <sheetData>
    <row r="1" spans="1:4">
      <c r="A1" s="1" t="s">
        <v>0</v>
      </c>
      <c r="B1" s="1" t="s">
        <v>1</v>
      </c>
      <c r="D1" s="3" t="s">
        <v>2</v>
      </c>
    </row>
    <row r="2" spans="1:4" ht="27.6">
      <c r="A2" s="2" t="s">
        <v>3</v>
      </c>
      <c r="B2" s="2">
        <v>299792458</v>
      </c>
      <c r="D2" s="2" t="s">
        <v>4</v>
      </c>
    </row>
    <row r="3" spans="1:4" ht="27.6">
      <c r="A3" s="2" t="s">
        <v>5</v>
      </c>
      <c r="B3" s="2">
        <v>1.3759999999999999</v>
      </c>
      <c r="D3" s="2" t="s">
        <v>6</v>
      </c>
    </row>
    <row r="4" spans="1:4" ht="27.6">
      <c r="A4" s="2" t="s">
        <v>7</v>
      </c>
      <c r="B4" s="2">
        <v>1.39</v>
      </c>
      <c r="D4" s="2" t="s">
        <v>8</v>
      </c>
    </row>
    <row r="5" spans="1:4" ht="27.6">
      <c r="A5" s="2" t="s">
        <v>9</v>
      </c>
      <c r="B5" s="2">
        <v>1.385</v>
      </c>
      <c r="D5" s="2" t="s">
        <v>10</v>
      </c>
    </row>
    <row r="6" spans="1:4">
      <c r="A6" s="2" t="s">
        <v>11</v>
      </c>
      <c r="B6" s="2">
        <v>1.399</v>
      </c>
    </row>
    <row r="7" spans="1:4">
      <c r="A7" s="2" t="s">
        <v>12</v>
      </c>
      <c r="B7" s="2">
        <v>1.387</v>
      </c>
    </row>
    <row r="8" spans="1:4">
      <c r="A8" s="2" t="s">
        <v>13</v>
      </c>
      <c r="B8" s="2">
        <v>1.401</v>
      </c>
    </row>
    <row r="9" spans="1:4">
      <c r="A9" s="2" t="s">
        <v>14</v>
      </c>
      <c r="B9" s="2">
        <v>1.3680000000000001</v>
      </c>
    </row>
    <row r="10" spans="1:4">
      <c r="A10" s="2" t="s">
        <v>15</v>
      </c>
      <c r="B10" s="2">
        <v>1.3919999999999999</v>
      </c>
    </row>
    <row r="11" spans="1:4">
      <c r="A11" s="2" t="s">
        <v>16</v>
      </c>
      <c r="B11" s="2">
        <v>1.36</v>
      </c>
    </row>
    <row r="12" spans="1:4">
      <c r="A12" s="2" t="s">
        <v>17</v>
      </c>
      <c r="B12" s="2">
        <v>1.38</v>
      </c>
    </row>
    <row r="13" spans="1:4">
      <c r="A13" t="s">
        <v>18</v>
      </c>
      <c r="B13">
        <v>1000000000000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1"/>
  <sheetViews>
    <sheetView workbookViewId="0">
      <selection activeCell="K1" sqref="K1"/>
    </sheetView>
  </sheetViews>
  <sheetFormatPr defaultColWidth="13.5" defaultRowHeight="13.8"/>
  <cols>
    <col min="1" max="3" width="13.5" style="5"/>
    <col min="4" max="4" width="16.09765625" style="5" customWidth="1"/>
    <col min="5" max="16384" width="13.5" style="5"/>
  </cols>
  <sheetData>
    <row r="1" spans="1:14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 spans="1:14">
      <c r="A2" s="5" t="s">
        <v>33</v>
      </c>
      <c r="B2" s="5" t="s">
        <v>34</v>
      </c>
      <c r="C2" s="6">
        <v>1.3759999999999999</v>
      </c>
      <c r="D2" s="7">
        <v>0.8</v>
      </c>
      <c r="E2" s="8">
        <v>1.2699</v>
      </c>
      <c r="F2" s="8">
        <v>-6.6188999999999998E-8</v>
      </c>
      <c r="G2" s="9">
        <v>5.8525999999999997E-8</v>
      </c>
      <c r="H2" s="9">
        <v>7.5478999999999997E-8</v>
      </c>
      <c r="I2" s="9">
        <v>1.2606000000000001E-7</v>
      </c>
      <c r="J2" s="10">
        <f t="shared" ref="J2:J33" si="0">G2/H2</f>
        <v>0.77539448058400351</v>
      </c>
      <c r="K2" s="11">
        <f t="shared" ref="K2:K33" si="1">J2*100</f>
        <v>77.539448058400353</v>
      </c>
      <c r="L2" s="11">
        <f t="shared" ref="L2:L33" si="2">C2/E2*J2*100</f>
        <v>84.017860090053446</v>
      </c>
      <c r="M2" s="9">
        <f>8.686*(2*PI()*(D2*Parameters!$B$13)/Parameters!$B$2)*ABS(F2)</f>
        <v>9.6395064253443144E-3</v>
      </c>
      <c r="N2" s="6">
        <f>1/SQRT(1+PI()*I2*((D2*Parameters!$B$13)/Parameters!$B$2)^2)</f>
        <v>0.51163727624991384</v>
      </c>
    </row>
    <row r="3" spans="1:14">
      <c r="A3" s="5" t="s">
        <v>33</v>
      </c>
      <c r="B3" s="5" t="s">
        <v>34</v>
      </c>
      <c r="C3" s="6">
        <v>1.3759999999999999</v>
      </c>
      <c r="D3" s="7">
        <v>1</v>
      </c>
      <c r="E3" s="8">
        <v>1.3045</v>
      </c>
      <c r="F3" s="8">
        <v>-4.2258E-10</v>
      </c>
      <c r="G3" s="9">
        <v>8.2342999999999998E-8</v>
      </c>
      <c r="H3" s="9">
        <v>9.9542000000000006E-8</v>
      </c>
      <c r="I3" s="9">
        <v>1.0749E-7</v>
      </c>
      <c r="J3" s="10">
        <f t="shared" si="0"/>
        <v>0.82721866146953038</v>
      </c>
      <c r="K3" s="11">
        <f t="shared" si="1"/>
        <v>82.721866146953033</v>
      </c>
      <c r="L3" s="11">
        <f t="shared" si="2"/>
        <v>87.255874141975752</v>
      </c>
      <c r="M3" s="9">
        <f>8.686*(2*PI()*(D3*Parameters!$B$13)/Parameters!$B$2)*ABS(F3)</f>
        <v>7.6928617769229035E-5</v>
      </c>
      <c r="N3" s="6">
        <f>1/SQRT(1+PI()*I3*((D3*Parameters!$B$13)/Parameters!$B$2)^2)</f>
        <v>0.45847902386376432</v>
      </c>
    </row>
    <row r="4" spans="1:14">
      <c r="A4" s="5" t="s">
        <v>33</v>
      </c>
      <c r="B4" s="5" t="s">
        <v>34</v>
      </c>
      <c r="C4" s="6">
        <v>1.3759999999999999</v>
      </c>
      <c r="D4" s="7">
        <v>1.2</v>
      </c>
      <c r="E4" s="8">
        <v>1.3257000000000001</v>
      </c>
      <c r="F4" s="8">
        <v>-4.7118000000000002E-12</v>
      </c>
      <c r="G4" s="9">
        <v>1.0944000000000001E-7</v>
      </c>
      <c r="H4" s="9">
        <v>1.2841E-7</v>
      </c>
      <c r="I4" s="9">
        <v>9.9739000000000004E-8</v>
      </c>
      <c r="J4" s="10">
        <f t="shared" si="0"/>
        <v>0.85227007242426611</v>
      </c>
      <c r="K4" s="11">
        <f t="shared" si="1"/>
        <v>85.227007242426609</v>
      </c>
      <c r="L4" s="11">
        <f t="shared" si="2"/>
        <v>88.460709033400462</v>
      </c>
      <c r="M4" s="9">
        <f>8.686*(2*PI()*(D4*Parameters!$B$13)/Parameters!$B$2)*ABS(F4)</f>
        <v>1.0293121147381894E-6</v>
      </c>
      <c r="N4" s="6">
        <f>1/SQRT(1+PI()*I4*((D4*Parameters!$B$13)/Parameters!$B$2)^2)</f>
        <v>0.40755695356187677</v>
      </c>
    </row>
    <row r="5" spans="1:14">
      <c r="A5" s="5" t="s">
        <v>33</v>
      </c>
      <c r="B5" s="5" t="s">
        <v>34</v>
      </c>
      <c r="C5" s="6">
        <v>1.3759999999999999</v>
      </c>
      <c r="D5" s="7">
        <v>1.4</v>
      </c>
      <c r="E5" s="8">
        <v>1.3395999999999999</v>
      </c>
      <c r="F5" s="8">
        <v>-9.8654E-14</v>
      </c>
      <c r="G5" s="9">
        <v>1.3818000000000001E-7</v>
      </c>
      <c r="H5" s="9">
        <v>1.5996000000000001E-7</v>
      </c>
      <c r="I5" s="9">
        <v>9.6629999999999999E-8</v>
      </c>
      <c r="J5" s="10">
        <f t="shared" si="0"/>
        <v>0.86384096024006007</v>
      </c>
      <c r="K5" s="11">
        <f t="shared" si="1"/>
        <v>86.384096024006013</v>
      </c>
      <c r="L5" s="11">
        <f t="shared" si="2"/>
        <v>88.731349752935401</v>
      </c>
      <c r="M5" s="9">
        <f>8.686*(2*PI()*(D5*Parameters!$B$13)/Parameters!$B$2)*ABS(F5)</f>
        <v>2.5143268021126717E-8</v>
      </c>
      <c r="N5" s="6">
        <f>1/SQRT(1+PI()*I5*((D5*Parameters!$B$13)/Parameters!$B$2)^2)</f>
        <v>0.36225506458046175</v>
      </c>
    </row>
    <row r="6" spans="1:14">
      <c r="A6" s="5" t="s">
        <v>33</v>
      </c>
      <c r="B6" s="5" t="s">
        <v>34</v>
      </c>
      <c r="C6" s="6">
        <v>1.3759999999999999</v>
      </c>
      <c r="D6" s="7">
        <v>1.6</v>
      </c>
      <c r="E6" s="8">
        <v>1.3492999999999999</v>
      </c>
      <c r="F6" s="8">
        <v>-3.8045000000000002E-15</v>
      </c>
      <c r="G6" s="9">
        <v>1.6656E-7</v>
      </c>
      <c r="H6" s="9">
        <v>1.9208999999999999E-7</v>
      </c>
      <c r="I6" s="9">
        <v>9.6165000000000001E-8</v>
      </c>
      <c r="J6" s="10">
        <f t="shared" si="0"/>
        <v>0.86709354989848508</v>
      </c>
      <c r="K6" s="11">
        <f t="shared" si="1"/>
        <v>86.709354989848507</v>
      </c>
      <c r="L6" s="11">
        <f t="shared" si="2"/>
        <v>88.425163022331247</v>
      </c>
      <c r="M6" s="9">
        <f>8.686*(2*PI()*(D6*Parameters!$B$13)/Parameters!$B$2)*ABS(F6)</f>
        <v>1.1081449242388447E-9</v>
      </c>
      <c r="N6" s="6">
        <f>1/SQRT(1+PI()*I6*((D6*Parameters!$B$13)/Parameters!$B$2)^2)</f>
        <v>0.32265973913905849</v>
      </c>
    </row>
    <row r="7" spans="1:14">
      <c r="A7" s="5" t="s">
        <v>33</v>
      </c>
      <c r="B7" s="5" t="s">
        <v>34</v>
      </c>
      <c r="C7" s="6">
        <v>1.3759999999999999</v>
      </c>
      <c r="D7" s="7">
        <v>1.8</v>
      </c>
      <c r="E7" s="8">
        <v>1.3564000000000001</v>
      </c>
      <c r="F7" s="8">
        <v>-2.5188999999999999E-16</v>
      </c>
      <c r="G7" s="9">
        <v>1.9217000000000001E-7</v>
      </c>
      <c r="H7" s="9">
        <v>2.2245999999999999E-7</v>
      </c>
      <c r="I7" s="9">
        <v>9.7584999999999997E-8</v>
      </c>
      <c r="J7" s="10">
        <f t="shared" si="0"/>
        <v>0.8638406904612066</v>
      </c>
      <c r="K7" s="11">
        <f t="shared" si="1"/>
        <v>86.384069046120658</v>
      </c>
      <c r="L7" s="11">
        <f t="shared" si="2"/>
        <v>87.632320117562685</v>
      </c>
      <c r="M7" s="9">
        <f>8.686*(2*PI()*(D7*Parameters!$B$13)/Parameters!$B$2)*ABS(F7)</f>
        <v>8.2539611798485441E-11</v>
      </c>
      <c r="N7" s="6">
        <f>1/SQRT(1+PI()*I7*((D7*Parameters!$B$13)/Parameters!$B$2)^2)</f>
        <v>0.28805301489850382</v>
      </c>
    </row>
    <row r="8" spans="1:14">
      <c r="A8" s="5" t="s">
        <v>33</v>
      </c>
      <c r="B8" s="5" t="s">
        <v>34</v>
      </c>
      <c r="C8" s="6">
        <v>1.3759999999999999</v>
      </c>
      <c r="D8" s="7">
        <v>2</v>
      </c>
      <c r="E8" s="8">
        <v>1.3619000000000001</v>
      </c>
      <c r="F8" s="8">
        <v>1.0697E-16</v>
      </c>
      <c r="G8" s="9">
        <v>2.1236E-7</v>
      </c>
      <c r="H8" s="9">
        <v>2.4849999999999998E-7</v>
      </c>
      <c r="I8" s="9">
        <v>1.0056E-7</v>
      </c>
      <c r="J8" s="10">
        <f t="shared" si="0"/>
        <v>0.85456740442655943</v>
      </c>
      <c r="K8" s="11">
        <f t="shared" si="1"/>
        <v>85.456740442655942</v>
      </c>
      <c r="L8" s="11">
        <f t="shared" si="2"/>
        <v>86.341489719578931</v>
      </c>
      <c r="M8" s="9">
        <f>8.686*(2*PI()*(D8*Parameters!$B$13)/Parameters!$B$2)*ABS(F8)</f>
        <v>3.8946728395922333E-11</v>
      </c>
      <c r="N8" s="6">
        <f>1/SQRT(1+PI()*I8*((D8*Parameters!$B$13)/Parameters!$B$2)^2)</f>
        <v>0.25768170887328123</v>
      </c>
    </row>
    <row r="9" spans="1:14">
      <c r="A9" s="5" t="s">
        <v>33</v>
      </c>
      <c r="B9" s="5" t="s">
        <v>34</v>
      </c>
      <c r="C9" s="6">
        <v>1.3759999999999999</v>
      </c>
      <c r="D9" s="7">
        <v>2.2000000000000002</v>
      </c>
      <c r="E9" s="8">
        <v>1.3664000000000001</v>
      </c>
      <c r="F9" s="8">
        <v>1.6190000000000001E-15</v>
      </c>
      <c r="G9" s="9">
        <v>2.2459E-7</v>
      </c>
      <c r="H9" s="9">
        <v>2.6777999999999998E-7</v>
      </c>
      <c r="I9" s="9">
        <v>1.0481999999999999E-7</v>
      </c>
      <c r="J9" s="10">
        <f t="shared" si="0"/>
        <v>0.83871088206736877</v>
      </c>
      <c r="K9" s="11">
        <f t="shared" si="1"/>
        <v>83.871088206736871</v>
      </c>
      <c r="L9" s="11">
        <f t="shared" si="2"/>
        <v>84.460346437697538</v>
      </c>
      <c r="M9" s="9">
        <f>8.686*(2*PI()*(D9*Parameters!$B$13)/Parameters!$B$2)*ABS(F9)</f>
        <v>6.4840823221742629E-10</v>
      </c>
      <c r="N9" s="6">
        <f>1/SQRT(1+PI()*I9*((D9*Parameters!$B$13)/Parameters!$B$2)^2)</f>
        <v>0.23104090095831759</v>
      </c>
    </row>
    <row r="10" spans="1:14">
      <c r="A10" s="5" t="s">
        <v>33</v>
      </c>
      <c r="B10" s="5" t="s">
        <v>34</v>
      </c>
      <c r="C10" s="6">
        <v>1.3759999999999999</v>
      </c>
      <c r="D10" s="7">
        <v>2.4</v>
      </c>
      <c r="E10" s="8">
        <v>1.3703000000000001</v>
      </c>
      <c r="F10" s="8">
        <v>2.0329E-16</v>
      </c>
      <c r="G10" s="9">
        <v>2.2705000000000001E-7</v>
      </c>
      <c r="H10" s="9">
        <v>2.7860999999999998E-7</v>
      </c>
      <c r="I10" s="9">
        <v>1.0972000000000001E-7</v>
      </c>
      <c r="J10" s="10">
        <f t="shared" si="0"/>
        <v>0.81493844442051622</v>
      </c>
      <c r="K10" s="11">
        <f t="shared" si="1"/>
        <v>81.493844442051625</v>
      </c>
      <c r="L10" s="11">
        <f t="shared" si="2"/>
        <v>81.832832191682854</v>
      </c>
      <c r="M10" s="9">
        <f>8.686*(2*PI()*(D10*Parameters!$B$13)/Parameters!$B$2)*ABS(F10)</f>
        <v>8.8819075429825754E-11</v>
      </c>
      <c r="N10" s="6">
        <f>1/SQRT(1+PI()*I10*((D10*Parameters!$B$13)/Parameters!$B$2)^2)</f>
        <v>0.20810282333514737</v>
      </c>
    </row>
    <row r="11" spans="1:14">
      <c r="A11" s="5" t="s">
        <v>33</v>
      </c>
      <c r="B11" s="5" t="s">
        <v>34</v>
      </c>
      <c r="C11" s="6">
        <v>1.3759999999999999</v>
      </c>
      <c r="D11" s="7">
        <v>2.6</v>
      </c>
      <c r="E11" s="8">
        <v>1.3738999999999999</v>
      </c>
      <c r="F11" s="8">
        <v>5.6694E-16</v>
      </c>
      <c r="G11" s="9">
        <v>2.1946000000000001E-7</v>
      </c>
      <c r="H11" s="9">
        <v>2.8083000000000001E-7</v>
      </c>
      <c r="I11" s="9">
        <v>1.1364E-7</v>
      </c>
      <c r="J11" s="10">
        <f t="shared" si="0"/>
        <v>0.78146921625182497</v>
      </c>
      <c r="K11" s="11">
        <f t="shared" si="1"/>
        <v>78.1469216251825</v>
      </c>
      <c r="L11" s="11">
        <f t="shared" si="2"/>
        <v>78.266368845076869</v>
      </c>
      <c r="M11" s="9">
        <f>8.686*(2*PI()*(D11*Parameters!$B$13)/Parameters!$B$2)*ABS(F11)</f>
        <v>2.6834248533064853E-10</v>
      </c>
      <c r="N11" s="6">
        <f>1/SQRT(1+PI()*I11*((D11*Parameters!$B$13)/Parameters!$B$2)^2)</f>
        <v>0.1894816278417254</v>
      </c>
    </row>
    <row r="12" spans="1:14">
      <c r="A12" s="5" t="s">
        <v>33</v>
      </c>
      <c r="B12" s="5" t="s">
        <v>34</v>
      </c>
      <c r="C12" s="6">
        <v>1.3759999999999999</v>
      </c>
      <c r="D12" s="7">
        <v>2.8</v>
      </c>
      <c r="E12" s="8">
        <v>1.3774999999999999</v>
      </c>
      <c r="F12" s="8">
        <v>6.8886999999999994E-17</v>
      </c>
      <c r="G12" s="9">
        <v>2.0361000000000001E-7</v>
      </c>
      <c r="H12" s="9">
        <v>2.7628999999999999E-7</v>
      </c>
      <c r="I12" s="9">
        <v>1.1361E-7</v>
      </c>
      <c r="J12" s="10">
        <f t="shared" si="0"/>
        <v>0.73694306706721202</v>
      </c>
      <c r="K12" s="11">
        <f t="shared" si="1"/>
        <v>73.694306706721207</v>
      </c>
      <c r="L12" s="11">
        <f t="shared" si="2"/>
        <v>73.614058822830032</v>
      </c>
      <c r="M12" s="9">
        <f>8.686*(2*PI()*(D12*Parameters!$B$13)/Parameters!$B$2)*ABS(F12)</f>
        <v>3.5113513981619719E-11</v>
      </c>
      <c r="N12" s="6">
        <f>1/SQRT(1+PI()*I12*((D12*Parameters!$B$13)/Parameters!$B$2)^2)</f>
        <v>0.17640651370678495</v>
      </c>
    </row>
    <row r="13" spans="1:14">
      <c r="A13" s="5" t="s">
        <v>33</v>
      </c>
      <c r="B13" s="5" t="s">
        <v>34</v>
      </c>
      <c r="C13" s="6">
        <v>1.3759999999999999</v>
      </c>
      <c r="D13" s="7">
        <v>3</v>
      </c>
      <c r="E13" s="8">
        <v>1.3811</v>
      </c>
      <c r="F13" s="8">
        <v>3.4756000000000002E-16</v>
      </c>
      <c r="G13" s="9">
        <v>1.8300000000000001E-7</v>
      </c>
      <c r="H13" s="9">
        <v>2.6847999999999998E-7</v>
      </c>
      <c r="I13" s="9">
        <v>1.0686000000000001E-7</v>
      </c>
      <c r="J13" s="10">
        <f t="shared" si="0"/>
        <v>0.68161501787842682</v>
      </c>
      <c r="K13" s="11">
        <f t="shared" si="1"/>
        <v>68.161501787842681</v>
      </c>
      <c r="L13" s="11">
        <f t="shared" si="2"/>
        <v>67.909801216473483</v>
      </c>
      <c r="M13" s="9">
        <f>8.686*(2*PI()*(D13*Parameters!$B$13)/Parameters!$B$2)*ABS(F13)</f>
        <v>1.8981478341525805E-10</v>
      </c>
      <c r="N13" s="6">
        <f>1/SQRT(1+PI()*I13*((D13*Parameters!$B$13)/Parameters!$B$2)^2)</f>
        <v>0.16996198470520429</v>
      </c>
    </row>
    <row r="14" spans="1:14">
      <c r="A14" s="5" t="s">
        <v>33</v>
      </c>
      <c r="B14" s="5" t="s">
        <v>34</v>
      </c>
      <c r="C14" s="6">
        <v>1.3759999999999999</v>
      </c>
      <c r="D14" s="7">
        <v>3.2</v>
      </c>
      <c r="E14" s="8">
        <v>1.3851</v>
      </c>
      <c r="F14" s="8">
        <v>8.0437999999999997E-16</v>
      </c>
      <c r="G14" s="9">
        <v>1.6157000000000001E-7</v>
      </c>
      <c r="H14" s="9">
        <v>2.6095999999999998E-7</v>
      </c>
      <c r="I14" s="9">
        <v>9.4400999999999999E-8</v>
      </c>
      <c r="J14" s="10">
        <f t="shared" si="0"/>
        <v>0.61913703249540164</v>
      </c>
      <c r="K14" s="11">
        <f t="shared" si="1"/>
        <v>61.913703249540163</v>
      </c>
      <c r="L14" s="11">
        <f t="shared" si="2"/>
        <v>61.506935002070072</v>
      </c>
      <c r="M14" s="9">
        <f>8.686*(2*PI()*(D14*Parameters!$B$13)/Parameters!$B$2)*ABS(F14)</f>
        <v>4.6858699653528287E-10</v>
      </c>
      <c r="N14" s="6">
        <f>1/SQRT(1+PI()*I14*((D14*Parameters!$B$13)/Parameters!$B$2)^2)</f>
        <v>0.16954083850734245</v>
      </c>
    </row>
    <row r="15" spans="1:14">
      <c r="A15" s="5" t="s">
        <v>33</v>
      </c>
      <c r="B15" s="5" t="s">
        <v>35</v>
      </c>
      <c r="C15" s="6">
        <v>1.39</v>
      </c>
      <c r="D15" s="7">
        <v>0.8</v>
      </c>
      <c r="E15" s="8">
        <v>1.2809999999999999</v>
      </c>
      <c r="F15" s="8">
        <v>-4.3458999999999999E-8</v>
      </c>
      <c r="G15" s="9">
        <v>5.8522E-8</v>
      </c>
      <c r="H15" s="9">
        <v>7.4460999999999994E-8</v>
      </c>
      <c r="I15" s="9">
        <v>1.2227E-7</v>
      </c>
      <c r="J15" s="10">
        <f t="shared" si="0"/>
        <v>0.78594163387545168</v>
      </c>
      <c r="K15" s="11">
        <f t="shared" si="1"/>
        <v>78.594163387545166</v>
      </c>
      <c r="L15" s="11">
        <f t="shared" si="2"/>
        <v>85.281722957601716</v>
      </c>
      <c r="M15" s="9">
        <f>8.686*(2*PI()*(D15*Parameters!$B$13)/Parameters!$B$2)*ABS(F15)</f>
        <v>6.3291983522796623E-3</v>
      </c>
      <c r="N15" s="6">
        <f>1/SQRT(1+PI()*I15*((D15*Parameters!$B$13)/Parameters!$B$2)^2)</f>
        <v>0.51741142688040642</v>
      </c>
    </row>
    <row r="16" spans="1:14">
      <c r="A16" s="5" t="s">
        <v>33</v>
      </c>
      <c r="B16" s="5" t="s">
        <v>35</v>
      </c>
      <c r="C16" s="6">
        <v>1.39</v>
      </c>
      <c r="D16" s="7">
        <v>1</v>
      </c>
      <c r="E16" s="8">
        <v>1.3164</v>
      </c>
      <c r="F16" s="8">
        <v>-2.4102000000000001E-10</v>
      </c>
      <c r="G16" s="9">
        <v>8.3135999999999997E-8</v>
      </c>
      <c r="H16" s="9">
        <v>9.9339E-8</v>
      </c>
      <c r="I16" s="9">
        <v>1.043E-7</v>
      </c>
      <c r="J16" s="10">
        <f t="shared" si="0"/>
        <v>0.83689185516262488</v>
      </c>
      <c r="K16" s="11">
        <f t="shared" si="1"/>
        <v>83.689185516262484</v>
      </c>
      <c r="L16" s="11">
        <f t="shared" si="2"/>
        <v>88.368252710122192</v>
      </c>
      <c r="M16" s="9">
        <f>8.686*(2*PI()*(D16*Parameters!$B$13)/Parameters!$B$2)*ABS(F16)</f>
        <v>4.3876509666192399E-5</v>
      </c>
      <c r="N16" s="6">
        <f>1/SQRT(1+PI()*I16*((D16*Parameters!$B$13)/Parameters!$B$2)^2)</f>
        <v>0.46394849559480644</v>
      </c>
    </row>
    <row r="17" spans="1:14">
      <c r="A17" s="5" t="s">
        <v>33</v>
      </c>
      <c r="B17" s="5" t="s">
        <v>35</v>
      </c>
      <c r="C17" s="6">
        <v>1.39</v>
      </c>
      <c r="D17" s="7">
        <v>1.2</v>
      </c>
      <c r="E17" s="8">
        <v>1.3379000000000001</v>
      </c>
      <c r="F17" s="8">
        <v>-2.3191000000000001E-12</v>
      </c>
      <c r="G17" s="9">
        <v>1.1152999999999999E-7</v>
      </c>
      <c r="H17" s="9">
        <v>1.2937E-7</v>
      </c>
      <c r="I17" s="9">
        <v>9.6599000000000004E-8</v>
      </c>
      <c r="J17" s="10">
        <f t="shared" si="0"/>
        <v>0.86210095076138205</v>
      </c>
      <c r="K17" s="11">
        <f t="shared" si="1"/>
        <v>86.210095076138202</v>
      </c>
      <c r="L17" s="11">
        <f t="shared" si="2"/>
        <v>89.567256264169288</v>
      </c>
      <c r="M17" s="9">
        <f>8.686*(2*PI()*(D17*Parameters!$B$13)/Parameters!$B$2)*ABS(F17)</f>
        <v>5.0661694581462176E-7</v>
      </c>
      <c r="N17" s="6">
        <f>1/SQRT(1+PI()*I17*((D17*Parameters!$B$13)/Parameters!$B$2)^2)</f>
        <v>0.4130144227646409</v>
      </c>
    </row>
    <row r="18" spans="1:14">
      <c r="A18" s="5" t="s">
        <v>33</v>
      </c>
      <c r="B18" s="5" t="s">
        <v>35</v>
      </c>
      <c r="C18" s="6">
        <v>1.39</v>
      </c>
      <c r="D18" s="7">
        <v>1.4</v>
      </c>
      <c r="E18" s="8">
        <v>1.3519000000000001</v>
      </c>
      <c r="F18" s="8">
        <v>-4.1454000000000002E-14</v>
      </c>
      <c r="G18" s="9">
        <v>1.4226E-7</v>
      </c>
      <c r="H18" s="9">
        <v>1.6268E-7</v>
      </c>
      <c r="I18" s="9">
        <v>9.3253999999999996E-8</v>
      </c>
      <c r="J18" s="10">
        <f t="shared" si="0"/>
        <v>0.87447750184411122</v>
      </c>
      <c r="K18" s="11">
        <f t="shared" si="1"/>
        <v>87.44775018441112</v>
      </c>
      <c r="L18" s="11">
        <f t="shared" si="2"/>
        <v>89.912251465590245</v>
      </c>
      <c r="M18" s="9">
        <f>8.686*(2*PI()*(D18*Parameters!$B$13)/Parameters!$B$2)*ABS(F18)</f>
        <v>1.0565096524700336E-8</v>
      </c>
      <c r="N18" s="6">
        <f>1/SQRT(1+PI()*I18*((D18*Parameters!$B$13)/Parameters!$B$2)^2)</f>
        <v>0.36788116017284112</v>
      </c>
    </row>
    <row r="19" spans="1:14">
      <c r="A19" s="5" t="s">
        <v>33</v>
      </c>
      <c r="B19" s="5" t="s">
        <v>35</v>
      </c>
      <c r="C19" s="6">
        <v>1.39</v>
      </c>
      <c r="D19" s="7">
        <v>1.6</v>
      </c>
      <c r="E19" s="8">
        <v>1.3615999999999999</v>
      </c>
      <c r="F19" s="8">
        <v>-1.3669999999999999E-15</v>
      </c>
      <c r="G19" s="9">
        <v>1.7359000000000001E-7</v>
      </c>
      <c r="H19" s="9">
        <v>1.9742999999999999E-7</v>
      </c>
      <c r="I19" s="9">
        <v>9.2333999999999998E-8</v>
      </c>
      <c r="J19" s="10">
        <f t="shared" si="0"/>
        <v>0.87924834118421724</v>
      </c>
      <c r="K19" s="11">
        <f t="shared" si="1"/>
        <v>87.924834118421728</v>
      </c>
      <c r="L19" s="11">
        <f t="shared" si="2"/>
        <v>89.758753983993969</v>
      </c>
      <c r="M19" s="9">
        <f>8.686*(2*PI()*(D19*Parameters!$B$13)/Parameters!$B$2)*ABS(F19)</f>
        <v>3.9816903967262471E-10</v>
      </c>
      <c r="N19" s="6">
        <f>1/SQRT(1+PI()*I19*((D19*Parameters!$B$13)/Parameters!$B$2)^2)</f>
        <v>0.3285765078821154</v>
      </c>
    </row>
    <row r="20" spans="1:14">
      <c r="A20" s="5" t="s">
        <v>33</v>
      </c>
      <c r="B20" s="5" t="s">
        <v>35</v>
      </c>
      <c r="C20" s="6">
        <v>1.39</v>
      </c>
      <c r="D20" s="7">
        <v>1.8</v>
      </c>
      <c r="E20" s="8">
        <v>1.3687</v>
      </c>
      <c r="F20" s="8">
        <v>-7.0038999999999995E-17</v>
      </c>
      <c r="G20" s="9">
        <v>2.0338000000000001E-7</v>
      </c>
      <c r="H20" s="9">
        <v>2.3152E-7</v>
      </c>
      <c r="I20" s="9">
        <v>9.3097000000000003E-8</v>
      </c>
      <c r="J20" s="10">
        <f t="shared" si="0"/>
        <v>0.87845542501727714</v>
      </c>
      <c r="K20" s="11">
        <f t="shared" si="1"/>
        <v>87.845542501727721</v>
      </c>
      <c r="L20" s="11">
        <f t="shared" si="2"/>
        <v>89.212613485352179</v>
      </c>
      <c r="M20" s="9">
        <f>8.686*(2*PI()*(D20*Parameters!$B$13)/Parameters!$B$2)*ABS(F20)</f>
        <v>2.2950461990369295E-11</v>
      </c>
      <c r="N20" s="6">
        <f>1/SQRT(1+PI()*I20*((D20*Parameters!$B$13)/Parameters!$B$2)^2)</f>
        <v>0.29432642459627245</v>
      </c>
    </row>
    <row r="21" spans="1:14">
      <c r="A21" s="5" t="s">
        <v>33</v>
      </c>
      <c r="B21" s="5" t="s">
        <v>35</v>
      </c>
      <c r="C21" s="6">
        <v>1.39</v>
      </c>
      <c r="D21" s="7">
        <v>2</v>
      </c>
      <c r="E21" s="8">
        <v>1.3741000000000001</v>
      </c>
      <c r="F21" s="8">
        <v>-3.1374999999999998E-17</v>
      </c>
      <c r="G21" s="9">
        <v>2.2916E-7</v>
      </c>
      <c r="H21" s="9">
        <v>2.6254999999999998E-7</v>
      </c>
      <c r="I21" s="9">
        <v>9.5248999999999995E-8</v>
      </c>
      <c r="J21" s="10">
        <f t="shared" si="0"/>
        <v>0.87282422395734149</v>
      </c>
      <c r="K21" s="11">
        <f t="shared" si="1"/>
        <v>87.282422395734145</v>
      </c>
      <c r="L21" s="11">
        <f t="shared" si="2"/>
        <v>88.292385656117062</v>
      </c>
      <c r="M21" s="9">
        <f>8.686*(2*PI()*(D21*Parameters!$B$13)/Parameters!$B$2)*ABS(F21)</f>
        <v>1.1423329937571872E-11</v>
      </c>
      <c r="N21" s="6">
        <f>1/SQRT(1+PI()*I21*((D21*Parameters!$B$13)/Parameters!$B$2)^2)</f>
        <v>0.26427953322780645</v>
      </c>
    </row>
    <row r="22" spans="1:14">
      <c r="A22" s="5" t="s">
        <v>33</v>
      </c>
      <c r="B22" s="5" t="s">
        <v>35</v>
      </c>
      <c r="C22" s="6">
        <v>1.39</v>
      </c>
      <c r="D22" s="7">
        <v>2.2000000000000002</v>
      </c>
      <c r="E22" s="8">
        <v>1.3783000000000001</v>
      </c>
      <c r="F22" s="8">
        <v>-2.9752E-17</v>
      </c>
      <c r="G22" s="9">
        <v>2.4826999999999999E-7</v>
      </c>
      <c r="H22" s="9">
        <v>2.8798000000000002E-7</v>
      </c>
      <c r="I22" s="9">
        <v>9.8655999999999993E-8</v>
      </c>
      <c r="J22" s="10">
        <f t="shared" si="0"/>
        <v>0.8621084797555385</v>
      </c>
      <c r="K22" s="11">
        <f t="shared" si="1"/>
        <v>86.210847975553847</v>
      </c>
      <c r="L22" s="11">
        <f t="shared" si="2"/>
        <v>86.94266755134575</v>
      </c>
      <c r="M22" s="9">
        <f>8.686*(2*PI()*(D22*Parameters!$B$13)/Parameters!$B$2)*ABS(F22)</f>
        <v>1.1915652702243896E-11</v>
      </c>
      <c r="N22" s="6">
        <f>1/SQRT(1+PI()*I22*((D22*Parameters!$B$13)/Parameters!$B$2)^2)</f>
        <v>0.23775309519295321</v>
      </c>
    </row>
    <row r="23" spans="1:14">
      <c r="A23" s="5" t="s">
        <v>33</v>
      </c>
      <c r="B23" s="5" t="s">
        <v>35</v>
      </c>
      <c r="C23" s="6">
        <v>1.39</v>
      </c>
      <c r="D23" s="7">
        <v>2.4</v>
      </c>
      <c r="E23" s="8">
        <v>1.3818999999999999</v>
      </c>
      <c r="F23" s="8">
        <v>-9.0658000000000006E-17</v>
      </c>
      <c r="G23" s="9">
        <v>2.5834999999999998E-7</v>
      </c>
      <c r="H23" s="9">
        <v>3.0554999999999998E-7</v>
      </c>
      <c r="I23" s="9">
        <v>1.0313E-7</v>
      </c>
      <c r="J23" s="10">
        <f t="shared" si="0"/>
        <v>0.84552446408116511</v>
      </c>
      <c r="K23" s="11">
        <f t="shared" si="1"/>
        <v>84.552446408116509</v>
      </c>
      <c r="L23" s="11">
        <f t="shared" si="2"/>
        <v>85.048050153615989</v>
      </c>
      <c r="M23" s="9">
        <f>8.686*(2*PI()*(D23*Parameters!$B$13)/Parameters!$B$2)*ABS(F23)</f>
        <v>3.9609226918771923E-11</v>
      </c>
      <c r="N23" s="6">
        <f>1/SQRT(1+PI()*I23*((D23*Parameters!$B$13)/Parameters!$B$2)^2)</f>
        <v>0.21435236579147895</v>
      </c>
    </row>
    <row r="24" spans="1:14">
      <c r="A24" s="5" t="s">
        <v>33</v>
      </c>
      <c r="B24" s="5" t="s">
        <v>35</v>
      </c>
      <c r="C24" s="6">
        <v>1.39</v>
      </c>
      <c r="D24" s="7">
        <v>2.6</v>
      </c>
      <c r="E24" s="8">
        <v>1.3851</v>
      </c>
      <c r="F24" s="8">
        <v>-5.3407999999999999E-16</v>
      </c>
      <c r="G24" s="9">
        <v>2.5792000000000002E-7</v>
      </c>
      <c r="H24" s="9">
        <v>3.1386999999999999E-7</v>
      </c>
      <c r="I24" s="9">
        <v>1.0809E-7</v>
      </c>
      <c r="J24" s="10">
        <f t="shared" si="0"/>
        <v>0.8217414853283207</v>
      </c>
      <c r="K24" s="11">
        <f t="shared" si="1"/>
        <v>82.174148532832064</v>
      </c>
      <c r="L24" s="11">
        <f t="shared" si="2"/>
        <v>82.464851967826576</v>
      </c>
      <c r="M24" s="9">
        <f>8.686*(2*PI()*(D24*Parameters!$B$13)/Parameters!$B$2)*ABS(F24)</f>
        <v>2.5278928028608451E-10</v>
      </c>
      <c r="N24" s="6">
        <f>1/SQRT(1+PI()*I24*((D24*Parameters!$B$13)/Parameters!$B$2)^2)</f>
        <v>0.19410647380870585</v>
      </c>
    </row>
    <row r="25" spans="1:14">
      <c r="A25" s="5" t="s">
        <v>33</v>
      </c>
      <c r="B25" s="5" t="s">
        <v>35</v>
      </c>
      <c r="C25" s="6">
        <v>1.39</v>
      </c>
      <c r="D25" s="7">
        <v>2.8</v>
      </c>
      <c r="E25" s="8">
        <v>1.3880999999999999</v>
      </c>
      <c r="F25" s="8">
        <v>-1.5661999999999999E-16</v>
      </c>
      <c r="G25" s="9">
        <v>2.4709999999999998E-7</v>
      </c>
      <c r="H25" s="9">
        <v>3.1315000000000002E-7</v>
      </c>
      <c r="I25" s="9">
        <v>1.1205E-7</v>
      </c>
      <c r="J25" s="10">
        <f t="shared" si="0"/>
        <v>0.78907871627015791</v>
      </c>
      <c r="K25" s="11">
        <f t="shared" si="1"/>
        <v>78.907871627015794</v>
      </c>
      <c r="L25" s="11">
        <f t="shared" si="2"/>
        <v>79.01587894355734</v>
      </c>
      <c r="M25" s="9">
        <f>8.686*(2*PI()*(D25*Parameters!$B$13)/Parameters!$B$2)*ABS(F25)</f>
        <v>7.9833329362597891E-11</v>
      </c>
      <c r="N25" s="6">
        <f>1/SQRT(1+PI()*I25*((D25*Parameters!$B$13)/Parameters!$B$2)^2)</f>
        <v>0.17759179924173393</v>
      </c>
    </row>
    <row r="26" spans="1:14">
      <c r="A26" s="5" t="s">
        <v>33</v>
      </c>
      <c r="B26" s="5" t="s">
        <v>35</v>
      </c>
      <c r="C26" s="6">
        <v>1.39</v>
      </c>
      <c r="D26" s="7">
        <v>3</v>
      </c>
      <c r="E26" s="8">
        <v>1.3911</v>
      </c>
      <c r="F26" s="8">
        <v>-4.0508999999999999E-17</v>
      </c>
      <c r="G26" s="9">
        <v>2.2802E-7</v>
      </c>
      <c r="H26" s="9">
        <v>3.0558000000000001E-7</v>
      </c>
      <c r="I26" s="9">
        <v>1.1232E-7</v>
      </c>
      <c r="J26" s="10">
        <f t="shared" si="0"/>
        <v>0.74618757772105504</v>
      </c>
      <c r="K26" s="11">
        <f t="shared" si="1"/>
        <v>74.618757772105511</v>
      </c>
      <c r="L26" s="11">
        <f t="shared" si="2"/>
        <v>74.559753650511567</v>
      </c>
      <c r="M26" s="9">
        <f>8.686*(2*PI()*(D26*Parameters!$B$13)/Parameters!$B$2)*ABS(F26)</f>
        <v>2.2123394698379235E-11</v>
      </c>
      <c r="N26" s="6">
        <f>1/SQRT(1+PI()*I26*((D26*Parameters!$B$13)/Parameters!$B$2)^2)</f>
        <v>0.16589602150992275</v>
      </c>
    </row>
    <row r="27" spans="1:14">
      <c r="A27" s="5" t="s">
        <v>33</v>
      </c>
      <c r="B27" s="5" t="s">
        <v>35</v>
      </c>
      <c r="C27" s="6">
        <v>1.39</v>
      </c>
      <c r="D27" s="7">
        <v>3.2</v>
      </c>
      <c r="E27" s="8">
        <v>1.3942000000000001</v>
      </c>
      <c r="F27" s="8">
        <v>1.5276999999999999E-16</v>
      </c>
      <c r="G27" s="9">
        <v>2.044E-7</v>
      </c>
      <c r="H27" s="9">
        <v>2.9484000000000001E-7</v>
      </c>
      <c r="I27" s="9">
        <v>1.0634E-7</v>
      </c>
      <c r="J27" s="10">
        <f t="shared" si="0"/>
        <v>0.69325735992402659</v>
      </c>
      <c r="K27" s="11">
        <f t="shared" si="1"/>
        <v>69.325735992402656</v>
      </c>
      <c r="L27" s="11">
        <f t="shared" si="2"/>
        <v>69.116893580146098</v>
      </c>
      <c r="M27" s="9">
        <f>8.686*(2*PI()*(D27*Parameters!$B$13)/Parameters!$B$2)*ABS(F27)</f>
        <v>8.8995295085277068E-11</v>
      </c>
      <c r="N27" s="6">
        <f>1/SQRT(1+PI()*I27*((D27*Parameters!$B$13)/Parameters!$B$2)^2)</f>
        <v>0.1599986054532698</v>
      </c>
    </row>
    <row r="28" spans="1:14">
      <c r="A28" s="5" t="s">
        <v>36</v>
      </c>
      <c r="B28" s="5" t="s">
        <v>34</v>
      </c>
      <c r="C28" s="6">
        <v>1.385</v>
      </c>
      <c r="D28" s="7">
        <v>0.8</v>
      </c>
      <c r="E28" s="8">
        <v>1.2769999999999999</v>
      </c>
      <c r="F28" s="8">
        <v>-5.0516000000000001E-8</v>
      </c>
      <c r="G28" s="9">
        <v>5.8514999999999998E-8</v>
      </c>
      <c r="H28" s="9">
        <v>7.4805E-8</v>
      </c>
      <c r="I28" s="9">
        <v>1.236E-7</v>
      </c>
      <c r="J28" s="10">
        <f t="shared" si="0"/>
        <v>0.78223380790054142</v>
      </c>
      <c r="K28" s="11">
        <f t="shared" si="1"/>
        <v>78.223380790054136</v>
      </c>
      <c r="L28" s="11">
        <f t="shared" si="2"/>
        <v>84.838983863919353</v>
      </c>
      <c r="M28" s="9">
        <f>8.686*(2*PI()*(D28*Parameters!$B$13)/Parameters!$B$2)*ABS(F28)</f>
        <v>7.3569521609737785E-3</v>
      </c>
      <c r="N28" s="6">
        <f>1/SQRT(1+PI()*I28*((D28*Parameters!$B$13)/Parameters!$B$2)^2)</f>
        <v>0.51536294072150268</v>
      </c>
    </row>
    <row r="29" spans="1:14">
      <c r="A29" s="5" t="s">
        <v>36</v>
      </c>
      <c r="B29" s="5" t="s">
        <v>34</v>
      </c>
      <c r="C29" s="6">
        <v>1.385</v>
      </c>
      <c r="D29" s="7">
        <v>1</v>
      </c>
      <c r="E29" s="8">
        <v>1.3121</v>
      </c>
      <c r="F29" s="8">
        <v>-2.9457999999999998E-10</v>
      </c>
      <c r="G29" s="9">
        <v>8.2844999999999998E-8</v>
      </c>
      <c r="H29" s="9">
        <v>9.9392999999999995E-8</v>
      </c>
      <c r="I29" s="9">
        <v>1.0542E-7</v>
      </c>
      <c r="J29" s="10">
        <f t="shared" si="0"/>
        <v>0.83350940207056834</v>
      </c>
      <c r="K29" s="11">
        <f t="shared" si="1"/>
        <v>83.350940207056837</v>
      </c>
      <c r="L29" s="11">
        <f t="shared" si="2"/>
        <v>87.981900912105573</v>
      </c>
      <c r="M29" s="9">
        <f>8.686*(2*PI()*(D29*Parameters!$B$13)/Parameters!$B$2)*ABS(F29)</f>
        <v>5.3626845147568477E-5</v>
      </c>
      <c r="N29" s="6">
        <f>1/SQRT(1+PI()*I29*((D29*Parameters!$B$13)/Parameters!$B$2)^2)</f>
        <v>0.46200594855002369</v>
      </c>
    </row>
    <row r="30" spans="1:14">
      <c r="A30" s="5" t="s">
        <v>36</v>
      </c>
      <c r="B30" s="5" t="s">
        <v>34</v>
      </c>
      <c r="C30" s="6">
        <v>1.385</v>
      </c>
      <c r="D30" s="7">
        <v>1.2</v>
      </c>
      <c r="E30" s="8">
        <v>1.3334999999999999</v>
      </c>
      <c r="F30" s="8">
        <v>-2.9874E-12</v>
      </c>
      <c r="G30" s="9">
        <v>1.1078E-7</v>
      </c>
      <c r="H30" s="9">
        <v>1.2900999999999999E-7</v>
      </c>
      <c r="I30" s="9">
        <v>9.7694000000000001E-8</v>
      </c>
      <c r="J30" s="10">
        <f t="shared" si="0"/>
        <v>0.85869312456398739</v>
      </c>
      <c r="K30" s="11">
        <f t="shared" si="1"/>
        <v>85.869312456398745</v>
      </c>
      <c r="L30" s="11">
        <f t="shared" si="2"/>
        <v>89.185600114069942</v>
      </c>
      <c r="M30" s="9">
        <f>8.686*(2*PI()*(D30*Parameters!$B$13)/Parameters!$B$2)*ABS(F30)</f>
        <v>6.5260983309326933E-7</v>
      </c>
      <c r="N30" s="6">
        <f>1/SQRT(1+PI()*I30*((D30*Parameters!$B$13)/Parameters!$B$2)^2)</f>
        <v>0.4110864474910616</v>
      </c>
    </row>
    <row r="31" spans="1:14">
      <c r="A31" s="5" t="s">
        <v>36</v>
      </c>
      <c r="B31" s="5" t="s">
        <v>34</v>
      </c>
      <c r="C31" s="6">
        <v>1.385</v>
      </c>
      <c r="D31" s="7">
        <v>1.4</v>
      </c>
      <c r="E31" s="8">
        <v>1.3474999999999999</v>
      </c>
      <c r="F31" s="8">
        <v>-5.6541999999999998E-14</v>
      </c>
      <c r="G31" s="9">
        <v>1.4079999999999999E-7</v>
      </c>
      <c r="H31" s="9">
        <v>1.6168999999999999E-7</v>
      </c>
      <c r="I31" s="9">
        <v>9.4428000000000004E-8</v>
      </c>
      <c r="J31" s="10">
        <f t="shared" si="0"/>
        <v>0.87080215226668312</v>
      </c>
      <c r="K31" s="11">
        <f t="shared" si="1"/>
        <v>87.080215226668315</v>
      </c>
      <c r="L31" s="11">
        <f t="shared" si="2"/>
        <v>89.503597839655384</v>
      </c>
      <c r="M31" s="9">
        <f>8.686*(2*PI()*(D31*Parameters!$B$13)/Parameters!$B$2)*ABS(F31)</f>
        <v>1.4410471551589868E-8</v>
      </c>
      <c r="N31" s="6">
        <f>1/SQRT(1+PI()*I31*((D31*Parameters!$B$13)/Parameters!$B$2)^2)</f>
        <v>0.3658950779649951</v>
      </c>
    </row>
    <row r="32" spans="1:14">
      <c r="A32" s="5" t="s">
        <v>36</v>
      </c>
      <c r="B32" s="5" t="s">
        <v>34</v>
      </c>
      <c r="C32" s="6">
        <v>1.385</v>
      </c>
      <c r="D32" s="7">
        <v>1.6</v>
      </c>
      <c r="E32" s="8">
        <v>1.3572</v>
      </c>
      <c r="F32" s="8">
        <v>-1.9520999999999999E-15</v>
      </c>
      <c r="G32" s="9">
        <v>1.7107999999999999E-7</v>
      </c>
      <c r="H32" s="9">
        <v>1.9551000000000001E-7</v>
      </c>
      <c r="I32" s="9">
        <v>9.3663999999999998E-8</v>
      </c>
      <c r="J32" s="10">
        <f t="shared" si="0"/>
        <v>0.87504475474400278</v>
      </c>
      <c r="K32" s="11">
        <f t="shared" si="1"/>
        <v>87.50447547440028</v>
      </c>
      <c r="L32" s="11">
        <f t="shared" si="2"/>
        <v>89.296860103186262</v>
      </c>
      <c r="M32" s="9">
        <f>8.686*(2*PI()*(D32*Parameters!$B$13)/Parameters!$B$2)*ABS(F32)</f>
        <v>5.6859237918429461E-10</v>
      </c>
      <c r="N32" s="6">
        <f>1/SQRT(1+PI()*I32*((D32*Parameters!$B$13)/Parameters!$B$2)^2)</f>
        <v>0.32648567736394013</v>
      </c>
    </row>
    <row r="33" spans="1:14">
      <c r="A33" s="5" t="s">
        <v>36</v>
      </c>
      <c r="B33" s="5" t="s">
        <v>34</v>
      </c>
      <c r="C33" s="6">
        <v>1.385</v>
      </c>
      <c r="D33" s="7">
        <v>1.8</v>
      </c>
      <c r="E33" s="8">
        <v>1.3643000000000001</v>
      </c>
      <c r="F33" s="8">
        <v>-1.2040999999999999E-16</v>
      </c>
      <c r="G33" s="9">
        <v>1.9938999999999999E-7</v>
      </c>
      <c r="H33" s="9">
        <v>2.2826999999999999E-7</v>
      </c>
      <c r="I33" s="9">
        <v>9.4652999999999994E-8</v>
      </c>
      <c r="J33" s="10">
        <f t="shared" si="0"/>
        <v>0.87348315591185877</v>
      </c>
      <c r="K33" s="11">
        <f t="shared" si="1"/>
        <v>87.34831559118588</v>
      </c>
      <c r="L33" s="11">
        <f t="shared" si="2"/>
        <v>88.673618041334336</v>
      </c>
      <c r="M33" s="9">
        <f>8.686*(2*PI()*(D33*Parameters!$B$13)/Parameters!$B$2)*ABS(F33)</f>
        <v>3.9456090581823938E-11</v>
      </c>
      <c r="N33" s="6">
        <f>1/SQRT(1+PI()*I33*((D33*Parameters!$B$13)/Parameters!$B$2)^2)</f>
        <v>0.29210524905387358</v>
      </c>
    </row>
    <row r="34" spans="1:14">
      <c r="A34" s="5" t="s">
        <v>36</v>
      </c>
      <c r="B34" s="5" t="s">
        <v>34</v>
      </c>
      <c r="C34" s="6">
        <v>1.385</v>
      </c>
      <c r="D34" s="7">
        <v>2</v>
      </c>
      <c r="E34" s="8">
        <v>1.3696999999999999</v>
      </c>
      <c r="F34" s="8">
        <v>3.9327E-17</v>
      </c>
      <c r="G34" s="9">
        <v>2.2315000000000001E-7</v>
      </c>
      <c r="H34" s="9">
        <v>2.5750000000000002E-7</v>
      </c>
      <c r="I34" s="9">
        <v>9.7096999999999999E-8</v>
      </c>
      <c r="J34" s="10">
        <f t="shared" ref="J34:J65" si="3">G34/H34</f>
        <v>0.86660194174757277</v>
      </c>
      <c r="K34" s="11">
        <f t="shared" ref="K34:K65" si="4">J34*100</f>
        <v>86.660194174757279</v>
      </c>
      <c r="L34" s="11">
        <f t="shared" ref="L34:L65" si="5">C34/E34*J34*100</f>
        <v>87.628217078220658</v>
      </c>
      <c r="M34" s="9">
        <f>8.686*(2*PI()*(D34*Parameters!$B$13)/Parameters!$B$2)*ABS(F34)</f>
        <v>1.4318575185813197E-11</v>
      </c>
      <c r="N34" s="6">
        <f>1/SQRT(1+PI()*I34*((D34*Parameters!$B$13)/Parameters!$B$2)^2)</f>
        <v>0.26192664709667068</v>
      </c>
    </row>
    <row r="35" spans="1:14">
      <c r="A35" s="5" t="s">
        <v>36</v>
      </c>
      <c r="B35" s="5" t="s">
        <v>34</v>
      </c>
      <c r="C35" s="6">
        <v>1.385</v>
      </c>
      <c r="D35" s="7">
        <v>2.2000000000000002</v>
      </c>
      <c r="E35" s="8">
        <v>1.3741000000000001</v>
      </c>
      <c r="F35" s="8">
        <v>-8.1179000000000002E-17</v>
      </c>
      <c r="G35" s="9">
        <v>2.3975000000000001E-7</v>
      </c>
      <c r="H35" s="9">
        <v>2.8066999999999998E-7</v>
      </c>
      <c r="I35" s="9">
        <v>1.0083E-7</v>
      </c>
      <c r="J35" s="10">
        <f t="shared" si="3"/>
        <v>0.85420600705454819</v>
      </c>
      <c r="K35" s="11">
        <f t="shared" si="4"/>
        <v>85.420600705454817</v>
      </c>
      <c r="L35" s="11">
        <f t="shared" si="5"/>
        <v>86.098196621101025</v>
      </c>
      <c r="M35" s="9">
        <f>8.686*(2*PI()*(D35*Parameters!$B$13)/Parameters!$B$2)*ABS(F35)</f>
        <v>3.2512125931549381E-11</v>
      </c>
      <c r="N35" s="6">
        <f>1/SQRT(1+PI()*I35*((D35*Parameters!$B$13)/Parameters!$B$2)^2)</f>
        <v>0.23531947002741491</v>
      </c>
    </row>
    <row r="36" spans="1:14">
      <c r="A36" s="5" t="s">
        <v>36</v>
      </c>
      <c r="B36" s="5" t="s">
        <v>34</v>
      </c>
      <c r="C36" s="6">
        <v>1.385</v>
      </c>
      <c r="D36" s="7">
        <v>2.4</v>
      </c>
      <c r="E36" s="8">
        <v>1.3776999999999999</v>
      </c>
      <c r="F36" s="8">
        <v>4.5108000000000002E-16</v>
      </c>
      <c r="G36" s="9">
        <v>2.4695999999999998E-7</v>
      </c>
      <c r="H36" s="9">
        <v>2.9568000000000001E-7</v>
      </c>
      <c r="I36" s="9">
        <v>1.0555E-7</v>
      </c>
      <c r="J36" s="10">
        <f t="shared" si="3"/>
        <v>0.8352272727272726</v>
      </c>
      <c r="K36" s="11">
        <f t="shared" si="4"/>
        <v>83.522727272727266</v>
      </c>
      <c r="L36" s="11">
        <f t="shared" si="5"/>
        <v>83.965287996463147</v>
      </c>
      <c r="M36" s="9">
        <f>8.686*(2*PI()*(D36*Parameters!$B$13)/Parameters!$B$2)*ABS(F36)</f>
        <v>1.9708056739084954E-10</v>
      </c>
      <c r="N36" s="6">
        <f>1/SQRT(1+PI()*I36*((D36*Parameters!$B$13)/Parameters!$B$2)^2)</f>
        <v>0.21199252389324683</v>
      </c>
    </row>
    <row r="37" spans="1:14">
      <c r="A37" s="5" t="s">
        <v>36</v>
      </c>
      <c r="B37" s="5" t="s">
        <v>34</v>
      </c>
      <c r="C37" s="6">
        <v>1.385</v>
      </c>
      <c r="D37" s="7">
        <v>2.6</v>
      </c>
      <c r="E37" s="8">
        <v>1.3811</v>
      </c>
      <c r="F37" s="8">
        <v>-1.4917999999999999E-16</v>
      </c>
      <c r="G37" s="9">
        <v>2.4369999999999999E-7</v>
      </c>
      <c r="H37" s="9">
        <v>3.0152999999999997E-7</v>
      </c>
      <c r="I37" s="9">
        <v>1.1037E-7</v>
      </c>
      <c r="J37" s="10">
        <f t="shared" si="3"/>
        <v>0.80821145491327562</v>
      </c>
      <c r="K37" s="11">
        <f t="shared" si="4"/>
        <v>80.821145491327556</v>
      </c>
      <c r="L37" s="11">
        <f t="shared" si="5"/>
        <v>81.049371157402561</v>
      </c>
      <c r="M37" s="9">
        <f>8.686*(2*PI()*(D37*Parameters!$B$13)/Parameters!$B$2)*ABS(F37)</f>
        <v>7.0609468306392461E-11</v>
      </c>
      <c r="N37" s="6">
        <f>1/SQRT(1+PI()*I37*((D37*Parameters!$B$13)/Parameters!$B$2)^2)</f>
        <v>0.19216590490989977</v>
      </c>
    </row>
    <row r="38" spans="1:14">
      <c r="A38" s="5" t="s">
        <v>36</v>
      </c>
      <c r="B38" s="5" t="s">
        <v>34</v>
      </c>
      <c r="C38" s="6">
        <v>1.385</v>
      </c>
      <c r="D38" s="7">
        <v>2.8</v>
      </c>
      <c r="E38" s="8">
        <v>1.3842000000000001</v>
      </c>
      <c r="F38" s="8">
        <v>-1.1649000000000001E-15</v>
      </c>
      <c r="G38" s="9">
        <v>2.3066999999999999E-7</v>
      </c>
      <c r="H38" s="9">
        <v>2.9903E-7</v>
      </c>
      <c r="I38" s="9">
        <v>1.1328000000000001E-7</v>
      </c>
      <c r="J38" s="10">
        <f t="shared" si="3"/>
        <v>0.771394174497542</v>
      </c>
      <c r="K38" s="11">
        <f t="shared" si="4"/>
        <v>77.139417449754205</v>
      </c>
      <c r="L38" s="11">
        <f t="shared" si="5"/>
        <v>77.184000265792207</v>
      </c>
      <c r="M38" s="9">
        <f>8.686*(2*PI()*(D38*Parameters!$B$13)/Parameters!$B$2)*ABS(F38)</f>
        <v>5.9378013902752066E-10</v>
      </c>
      <c r="N38" s="6">
        <f>1/SQRT(1+PI()*I38*((D38*Parameters!$B$13)/Parameters!$B$2)^2)</f>
        <v>0.17665526776823892</v>
      </c>
    </row>
    <row r="39" spans="1:14">
      <c r="A39" s="5" t="s">
        <v>36</v>
      </c>
      <c r="B39" s="5" t="s">
        <v>34</v>
      </c>
      <c r="C39" s="6">
        <v>1.385</v>
      </c>
      <c r="D39" s="7">
        <v>3</v>
      </c>
      <c r="E39" s="8">
        <v>1.3874</v>
      </c>
      <c r="F39" s="8">
        <v>-6.5866000000000004E-17</v>
      </c>
      <c r="G39" s="9">
        <v>2.1059999999999999E-7</v>
      </c>
      <c r="H39" s="9">
        <v>2.9094999999999999E-7</v>
      </c>
      <c r="I39" s="9">
        <v>1.1123E-7</v>
      </c>
      <c r="J39" s="10">
        <f t="shared" si="3"/>
        <v>0.7238357106031964</v>
      </c>
      <c r="K39" s="11">
        <f t="shared" si="4"/>
        <v>72.383571060319639</v>
      </c>
      <c r="L39" s="11">
        <f t="shared" si="5"/>
        <v>72.258358021149434</v>
      </c>
      <c r="M39" s="9">
        <f>8.686*(2*PI()*(D39*Parameters!$B$13)/Parameters!$B$2)*ABS(F39)</f>
        <v>3.5971747394491268E-11</v>
      </c>
      <c r="N39" s="6">
        <f>1/SQRT(1+PI()*I39*((D39*Parameters!$B$13)/Parameters!$B$2)^2)</f>
        <v>0.16668441441121307</v>
      </c>
    </row>
    <row r="40" spans="1:14">
      <c r="A40" s="5" t="s">
        <v>36</v>
      </c>
      <c r="B40" s="5" t="s">
        <v>34</v>
      </c>
      <c r="C40" s="6">
        <v>1.385</v>
      </c>
      <c r="D40" s="7">
        <v>3.2</v>
      </c>
      <c r="E40" s="8">
        <v>1.3908</v>
      </c>
      <c r="F40" s="8">
        <v>2.1005000000000001E-16</v>
      </c>
      <c r="G40" s="9">
        <v>1.8745E-7</v>
      </c>
      <c r="H40" s="9">
        <v>2.8112000000000002E-7</v>
      </c>
      <c r="I40" s="9">
        <v>1.0251999999999999E-7</v>
      </c>
      <c r="J40" s="10">
        <f t="shared" si="3"/>
        <v>0.66679709732498571</v>
      </c>
      <c r="K40" s="11">
        <f t="shared" si="4"/>
        <v>66.679709732498566</v>
      </c>
      <c r="L40" s="11">
        <f t="shared" si="5"/>
        <v>66.401637891508855</v>
      </c>
      <c r="M40" s="9">
        <f>8.686*(2*PI()*(D40*Parameters!$B$13)/Parameters!$B$2)*ABS(F40)</f>
        <v>1.2236343347949498E-10</v>
      </c>
      <c r="N40" s="6">
        <f>1/SQRT(1+PI()*I40*((D40*Parameters!$B$13)/Parameters!$B$2)^2)</f>
        <v>0.16287453770822904</v>
      </c>
    </row>
    <row r="41" spans="1:14">
      <c r="A41" s="5" t="s">
        <v>36</v>
      </c>
      <c r="B41" s="5" t="s">
        <v>35</v>
      </c>
      <c r="C41" s="6">
        <v>1.399</v>
      </c>
      <c r="D41" s="7">
        <v>0.8</v>
      </c>
      <c r="E41" s="8">
        <v>1.2883</v>
      </c>
      <c r="F41" s="8">
        <v>-3.3127000000000003E-8</v>
      </c>
      <c r="G41" s="9">
        <v>5.8554999999999997E-8</v>
      </c>
      <c r="H41" s="9">
        <v>7.3894E-8</v>
      </c>
      <c r="I41" s="9">
        <v>1.1997000000000001E-7</v>
      </c>
      <c r="J41" s="10">
        <f t="shared" si="3"/>
        <v>0.79241887027363522</v>
      </c>
      <c r="K41" s="11">
        <f t="shared" si="4"/>
        <v>79.241887027363518</v>
      </c>
      <c r="L41" s="11">
        <f t="shared" si="5"/>
        <v>86.050919778996786</v>
      </c>
      <c r="M41" s="9">
        <f>8.686*(2*PI()*(D41*Parameters!$B$13)/Parameters!$B$2)*ABS(F41)</f>
        <v>4.8244863852359328E-3</v>
      </c>
      <c r="N41" s="6">
        <f>1/SQRT(1+PI()*I41*((D41*Parameters!$B$13)/Parameters!$B$2)^2)</f>
        <v>0.52101231540869042</v>
      </c>
    </row>
    <row r="42" spans="1:14">
      <c r="A42" s="5" t="s">
        <v>36</v>
      </c>
      <c r="B42" s="5" t="s">
        <v>35</v>
      </c>
      <c r="C42" s="6">
        <v>1.399</v>
      </c>
      <c r="D42" s="7">
        <v>1</v>
      </c>
      <c r="E42" s="8">
        <v>1.3240000000000001</v>
      </c>
      <c r="F42" s="8">
        <v>-1.6789E-10</v>
      </c>
      <c r="G42" s="9">
        <v>8.3682999999999996E-8</v>
      </c>
      <c r="H42" s="9">
        <v>9.9293000000000001E-8</v>
      </c>
      <c r="I42" s="9">
        <v>1.0237E-7</v>
      </c>
      <c r="J42" s="10">
        <f t="shared" si="3"/>
        <v>0.84278851479963335</v>
      </c>
      <c r="K42" s="11">
        <f t="shared" si="4"/>
        <v>84.278851479963336</v>
      </c>
      <c r="L42" s="11">
        <f t="shared" si="5"/>
        <v>89.052955604583616</v>
      </c>
      <c r="M42" s="9">
        <f>8.686*(2*PI()*(D42*Parameters!$B$13)/Parameters!$B$2)*ABS(F42)</f>
        <v>3.0563551605082735E-5</v>
      </c>
      <c r="N42" s="6">
        <f>1/SQRT(1+PI()*I42*((D42*Parameters!$B$13)/Parameters!$B$2)^2)</f>
        <v>0.46735419846401294</v>
      </c>
    </row>
    <row r="43" spans="1:14">
      <c r="A43" s="5" t="s">
        <v>36</v>
      </c>
      <c r="B43" s="5" t="s">
        <v>35</v>
      </c>
      <c r="C43" s="6">
        <v>1.399</v>
      </c>
      <c r="D43" s="7">
        <v>1.2</v>
      </c>
      <c r="E43" s="8">
        <v>1.3458000000000001</v>
      </c>
      <c r="F43" s="8">
        <v>-1.4697000000000001E-12</v>
      </c>
      <c r="G43" s="9">
        <v>1.1289E-7</v>
      </c>
      <c r="H43" s="9">
        <v>1.3007E-7</v>
      </c>
      <c r="I43" s="9">
        <v>9.4701999999999997E-8</v>
      </c>
      <c r="J43" s="10">
        <f t="shared" si="3"/>
        <v>0.86791727531329288</v>
      </c>
      <c r="K43" s="11">
        <f t="shared" si="4"/>
        <v>86.791727531329286</v>
      </c>
      <c r="L43" s="11">
        <f t="shared" si="5"/>
        <v>90.222638442807011</v>
      </c>
      <c r="M43" s="9">
        <f>8.686*(2*PI()*(D43*Parameters!$B$13)/Parameters!$B$2)*ABS(F43)</f>
        <v>3.2106201770676106E-7</v>
      </c>
      <c r="N43" s="6">
        <f>1/SQRT(1+PI()*I43*((D43*Parameters!$B$13)/Parameters!$B$2)^2)</f>
        <v>0.41641967528081247</v>
      </c>
    </row>
    <row r="44" spans="1:14">
      <c r="A44" s="5" t="s">
        <v>36</v>
      </c>
      <c r="B44" s="5" t="s">
        <v>35</v>
      </c>
      <c r="C44" s="6">
        <v>1.399</v>
      </c>
      <c r="D44" s="7">
        <v>1.4</v>
      </c>
      <c r="E44" s="8">
        <v>1.3599000000000001</v>
      </c>
      <c r="F44" s="8">
        <v>-2.3764E-14</v>
      </c>
      <c r="G44" s="9">
        <v>1.4489E-7</v>
      </c>
      <c r="H44" s="9">
        <v>1.645E-7</v>
      </c>
      <c r="I44" s="9">
        <v>9.1227E-8</v>
      </c>
      <c r="J44" s="10">
        <f t="shared" si="3"/>
        <v>0.88079027355623096</v>
      </c>
      <c r="K44" s="11">
        <f t="shared" si="4"/>
        <v>88.079027355623097</v>
      </c>
      <c r="L44" s="11">
        <f t="shared" si="5"/>
        <v>90.611485602262448</v>
      </c>
      <c r="M44" s="9">
        <f>8.686*(2*PI()*(D44*Parameters!$B$13)/Parameters!$B$2)*ABS(F44)</f>
        <v>6.0565676126062329E-9</v>
      </c>
      <c r="N44" s="6">
        <f>1/SQRT(1+PI()*I44*((D44*Parameters!$B$13)/Parameters!$B$2)^2)</f>
        <v>0.37138775917444389</v>
      </c>
    </row>
    <row r="45" spans="1:14">
      <c r="A45" s="5" t="s">
        <v>36</v>
      </c>
      <c r="B45" s="5" t="s">
        <v>35</v>
      </c>
      <c r="C45" s="6">
        <v>1.399</v>
      </c>
      <c r="D45" s="7">
        <v>1.6</v>
      </c>
      <c r="E45" s="8">
        <v>1.3695999999999999</v>
      </c>
      <c r="F45" s="8">
        <v>-6.4609999999999999E-16</v>
      </c>
      <c r="G45" s="9">
        <v>1.7809E-7</v>
      </c>
      <c r="H45" s="9">
        <v>2.0092E-7</v>
      </c>
      <c r="I45" s="9">
        <v>9.0048E-8</v>
      </c>
      <c r="J45" s="10">
        <f t="shared" si="3"/>
        <v>0.88637268564602822</v>
      </c>
      <c r="K45" s="11">
        <f t="shared" si="4"/>
        <v>88.63726856460282</v>
      </c>
      <c r="L45" s="11">
        <f t="shared" si="5"/>
        <v>90.539966940624524</v>
      </c>
      <c r="M45" s="9">
        <f>8.686*(2*PI()*(D45*Parameters!$B$13)/Parameters!$B$2)*ABS(F45)</f>
        <v>1.8819094113568605E-10</v>
      </c>
      <c r="N45" s="6">
        <f>1/SQRT(1+PI()*I45*((D45*Parameters!$B$13)/Parameters!$B$2)^2)</f>
        <v>0.33226604255875242</v>
      </c>
    </row>
    <row r="46" spans="1:14">
      <c r="A46" s="5" t="s">
        <v>36</v>
      </c>
      <c r="B46" s="5" t="s">
        <v>35</v>
      </c>
      <c r="C46" s="6">
        <v>1.399</v>
      </c>
      <c r="D46" s="7">
        <v>1.8</v>
      </c>
      <c r="E46" s="8">
        <v>1.3767</v>
      </c>
      <c r="F46" s="8">
        <v>-2.7289E-17</v>
      </c>
      <c r="G46" s="9">
        <v>2.1054999999999999E-7</v>
      </c>
      <c r="H46" s="9">
        <v>2.3739999999999999E-7</v>
      </c>
      <c r="I46" s="9">
        <v>9.0428999999999995E-8</v>
      </c>
      <c r="J46" s="10">
        <f t="shared" si="3"/>
        <v>0.88689974726200504</v>
      </c>
      <c r="K46" s="11">
        <f t="shared" si="4"/>
        <v>88.689974726200504</v>
      </c>
      <c r="L46" s="11">
        <f t="shared" si="5"/>
        <v>90.126588684502423</v>
      </c>
      <c r="M46" s="9">
        <f>8.686*(2*PI()*(D46*Parameters!$B$13)/Parameters!$B$2)*ABS(F46)</f>
        <v>8.9420916525819579E-12</v>
      </c>
      <c r="N46" s="6">
        <f>1/SQRT(1+PI()*I46*((D46*Parameters!$B$13)/Parameters!$B$2)^2)</f>
        <v>0.29825583198346517</v>
      </c>
    </row>
    <row r="47" spans="1:14">
      <c r="A47" s="5" t="s">
        <v>36</v>
      </c>
      <c r="B47" s="5" t="s">
        <v>35</v>
      </c>
      <c r="C47" s="6">
        <v>1.399</v>
      </c>
      <c r="D47" s="7">
        <v>2</v>
      </c>
      <c r="E47" s="8">
        <v>1.3819999999999999</v>
      </c>
      <c r="F47" s="8">
        <v>4.5617999999999999E-17</v>
      </c>
      <c r="G47" s="9">
        <v>2.3994999999999997E-7</v>
      </c>
      <c r="H47" s="9">
        <v>2.7169999999999998E-7</v>
      </c>
      <c r="I47" s="9">
        <v>9.2075999999999997E-8</v>
      </c>
      <c r="J47" s="10">
        <f t="shared" si="3"/>
        <v>0.88314317261685682</v>
      </c>
      <c r="K47" s="11">
        <f t="shared" si="4"/>
        <v>88.314317261685687</v>
      </c>
      <c r="L47" s="11">
        <f t="shared" si="5"/>
        <v>89.400672828580525</v>
      </c>
      <c r="M47" s="9">
        <f>8.686*(2*PI()*(D47*Parameters!$B$13)/Parameters!$B$2)*ABS(F47)</f>
        <v>1.6609066616482985E-11</v>
      </c>
      <c r="N47" s="6">
        <f>1/SQRT(1+PI()*I47*((D47*Parameters!$B$13)/Parameters!$B$2)^2)</f>
        <v>0.26847169607629151</v>
      </c>
    </row>
    <row r="48" spans="1:14">
      <c r="A48" s="5" t="s">
        <v>36</v>
      </c>
      <c r="B48" s="5" t="s">
        <v>35</v>
      </c>
      <c r="C48" s="6">
        <v>1.399</v>
      </c>
      <c r="D48" s="7">
        <v>2.2000000000000002</v>
      </c>
      <c r="E48" s="8">
        <v>1.3862000000000001</v>
      </c>
      <c r="F48" s="8">
        <v>4.3011E-17</v>
      </c>
      <c r="G48" s="9">
        <v>2.6371000000000002E-7</v>
      </c>
      <c r="H48" s="9">
        <v>3.0134000000000002E-7</v>
      </c>
      <c r="I48" s="9">
        <v>9.488E-8</v>
      </c>
      <c r="J48" s="10">
        <f t="shared" si="3"/>
        <v>0.87512444414946577</v>
      </c>
      <c r="K48" s="11">
        <f t="shared" si="4"/>
        <v>87.512444414946572</v>
      </c>
      <c r="L48" s="11">
        <f t="shared" si="5"/>
        <v>88.320523543868305</v>
      </c>
      <c r="M48" s="9">
        <f>8.686*(2*PI()*(D48*Parameters!$B$13)/Parameters!$B$2)*ABS(F48)</f>
        <v>1.7225871819582286E-11</v>
      </c>
      <c r="N48" s="6">
        <f>1/SQRT(1+PI()*I48*((D48*Parameters!$B$13)/Parameters!$B$2)^2)</f>
        <v>0.242165706698937</v>
      </c>
    </row>
    <row r="49" spans="1:14">
      <c r="A49" s="5" t="s">
        <v>36</v>
      </c>
      <c r="B49" s="5" t="s">
        <v>35</v>
      </c>
      <c r="C49" s="6">
        <v>1.399</v>
      </c>
      <c r="D49" s="7">
        <v>2.4</v>
      </c>
      <c r="E49" s="8">
        <v>1.3895999999999999</v>
      </c>
      <c r="F49" s="8">
        <v>-4.9661999999999997E-16</v>
      </c>
      <c r="G49" s="9">
        <v>2.7930000000000002E-7</v>
      </c>
      <c r="H49" s="9">
        <v>3.2387E-7</v>
      </c>
      <c r="I49" s="9">
        <v>9.8770000000000004E-8</v>
      </c>
      <c r="J49" s="10">
        <f t="shared" si="3"/>
        <v>0.86238305492944711</v>
      </c>
      <c r="K49" s="11">
        <f t="shared" si="4"/>
        <v>86.238305492944704</v>
      </c>
      <c r="L49" s="11">
        <f t="shared" si="5"/>
        <v>86.821667663089869</v>
      </c>
      <c r="M49" s="9">
        <f>8.686*(2*PI()*(D49*Parameters!$B$13)/Parameters!$B$2)*ABS(F49)</f>
        <v>2.1697736848816993E-10</v>
      </c>
      <c r="N49" s="6">
        <f>1/SQRT(1+PI()*I49*((D49*Parameters!$B$13)/Parameters!$B$2)^2)</f>
        <v>0.21881056312582231</v>
      </c>
    </row>
    <row r="50" spans="1:14">
      <c r="A50" s="5" t="s">
        <v>36</v>
      </c>
      <c r="B50" s="5" t="s">
        <v>35</v>
      </c>
      <c r="C50" s="6">
        <v>1.399</v>
      </c>
      <c r="D50" s="7">
        <v>2.6</v>
      </c>
      <c r="E50" s="8">
        <v>1.3926000000000001</v>
      </c>
      <c r="F50" s="8">
        <v>-2.7156999999999999E-16</v>
      </c>
      <c r="G50" s="9">
        <v>2.8467000000000002E-7</v>
      </c>
      <c r="H50" s="9">
        <v>3.3734999999999999E-7</v>
      </c>
      <c r="I50" s="9">
        <v>1.0352E-7</v>
      </c>
      <c r="J50" s="10">
        <f t="shared" si="3"/>
        <v>0.84384170742552256</v>
      </c>
      <c r="K50" s="11">
        <f t="shared" si="4"/>
        <v>84.384170742552257</v>
      </c>
      <c r="L50" s="11">
        <f t="shared" si="5"/>
        <v>84.77197678359228</v>
      </c>
      <c r="M50" s="9">
        <f>8.686*(2*PI()*(D50*Parameters!$B$13)/Parameters!$B$2)*ABS(F50)</f>
        <v>1.2853876731443223E-10</v>
      </c>
      <c r="N50" s="6">
        <f>1/SQRT(1+PI()*I50*((D50*Parameters!$B$13)/Parameters!$B$2)^2)</f>
        <v>0.19817997294858683</v>
      </c>
    </row>
    <row r="51" spans="1:14">
      <c r="A51" s="5" t="s">
        <v>36</v>
      </c>
      <c r="B51" s="5" t="s">
        <v>35</v>
      </c>
      <c r="C51" s="6">
        <v>1.399</v>
      </c>
      <c r="D51" s="7">
        <v>2.8</v>
      </c>
      <c r="E51" s="8">
        <v>1.3953</v>
      </c>
      <c r="F51" s="8">
        <v>1.5832E-16</v>
      </c>
      <c r="G51" s="9">
        <v>2.7897999999999997E-7</v>
      </c>
      <c r="H51" s="9">
        <v>3.4102000000000002E-7</v>
      </c>
      <c r="I51" s="9">
        <v>1.084E-7</v>
      </c>
      <c r="J51" s="10">
        <f t="shared" si="3"/>
        <v>0.81807518620608755</v>
      </c>
      <c r="K51" s="11">
        <f t="shared" si="4"/>
        <v>81.807518620608761</v>
      </c>
      <c r="L51" s="11">
        <f t="shared" si="5"/>
        <v>82.024452483502941</v>
      </c>
      <c r="M51" s="9">
        <f>8.686*(2*PI()*(D51*Parameters!$B$13)/Parameters!$B$2)*ABS(F51)</f>
        <v>8.0699864031965893E-11</v>
      </c>
      <c r="N51" s="6">
        <f>1/SQRT(1+PI()*I51*((D51*Parameters!$B$13)/Parameters!$B$2)^2)</f>
        <v>0.18046114833091179</v>
      </c>
    </row>
    <row r="52" spans="1:14">
      <c r="A52" s="5" t="s">
        <v>36</v>
      </c>
      <c r="B52" s="5" t="s">
        <v>35</v>
      </c>
      <c r="C52" s="6">
        <v>1.399</v>
      </c>
      <c r="D52" s="7">
        <v>3</v>
      </c>
      <c r="E52" s="8">
        <v>1.3979999999999999</v>
      </c>
      <c r="F52" s="8">
        <v>-3.4507E-16</v>
      </c>
      <c r="G52" s="9">
        <v>2.6316999999999999E-7</v>
      </c>
      <c r="H52" s="9">
        <v>3.3585999999999999E-7</v>
      </c>
      <c r="I52" s="9">
        <v>1.117E-7</v>
      </c>
      <c r="J52" s="10">
        <f t="shared" si="3"/>
        <v>0.78357053534210686</v>
      </c>
      <c r="K52" s="11">
        <f t="shared" si="4"/>
        <v>78.357053534210692</v>
      </c>
      <c r="L52" s="11">
        <f t="shared" si="5"/>
        <v>78.413102928727284</v>
      </c>
      <c r="M52" s="9">
        <f>8.686*(2*PI()*(D52*Parameters!$B$13)/Parameters!$B$2)*ABS(F52)</f>
        <v>1.8845490652866582E-10</v>
      </c>
      <c r="N52" s="6">
        <f>1/SQRT(1+PI()*I52*((D52*Parameters!$B$13)/Parameters!$B$2)^2)</f>
        <v>0.16634308929622502</v>
      </c>
    </row>
    <row r="53" spans="1:14">
      <c r="A53" s="5" t="s">
        <v>36</v>
      </c>
      <c r="B53" s="5" t="s">
        <v>35</v>
      </c>
      <c r="C53" s="6">
        <v>1.399</v>
      </c>
      <c r="D53" s="7">
        <v>3.2</v>
      </c>
      <c r="E53" s="8">
        <v>1.4006000000000001</v>
      </c>
      <c r="F53" s="8">
        <v>4.1047E-17</v>
      </c>
      <c r="G53" s="9">
        <v>2.4007E-7</v>
      </c>
      <c r="H53" s="9">
        <v>3.2476E-7</v>
      </c>
      <c r="I53" s="9">
        <v>1.1073E-7</v>
      </c>
      <c r="J53" s="10">
        <f t="shared" si="3"/>
        <v>0.73922281069097184</v>
      </c>
      <c r="K53" s="11">
        <f t="shared" si="4"/>
        <v>73.922281069097181</v>
      </c>
      <c r="L53" s="11">
        <f t="shared" si="5"/>
        <v>73.837834653482048</v>
      </c>
      <c r="M53" s="9">
        <f>8.686*(2*PI()*(D53*Parameters!$B$13)/Parameters!$B$2)*ABS(F53)</f>
        <v>2.391169652003252E-11</v>
      </c>
      <c r="N53" s="6">
        <f>1/SQRT(1+PI()*I53*((D53*Parameters!$B$13)/Parameters!$B$2)^2)</f>
        <v>0.15687450710531248</v>
      </c>
    </row>
    <row r="54" spans="1:14">
      <c r="A54" s="5" t="s">
        <v>37</v>
      </c>
      <c r="B54" s="5" t="s">
        <v>34</v>
      </c>
      <c r="C54" s="6">
        <v>1.387</v>
      </c>
      <c r="D54" s="7">
        <v>0.8</v>
      </c>
      <c r="E54" s="8">
        <v>1.2786</v>
      </c>
      <c r="F54" s="8">
        <v>-4.7566999999999998E-8</v>
      </c>
      <c r="G54" s="9">
        <v>5.8517E-8</v>
      </c>
      <c r="H54" s="9">
        <v>7.4665000000000001E-8</v>
      </c>
      <c r="I54" s="9">
        <v>1.2305999999999999E-7</v>
      </c>
      <c r="J54" s="10">
        <f t="shared" si="3"/>
        <v>0.78372731534186035</v>
      </c>
      <c r="K54" s="11">
        <f t="shared" si="4"/>
        <v>78.37273153418603</v>
      </c>
      <c r="L54" s="11">
        <f t="shared" si="5"/>
        <v>85.017189612010043</v>
      </c>
      <c r="M54" s="9">
        <f>8.686*(2*PI()*(D54*Parameters!$B$13)/Parameters!$B$2)*ABS(F54)</f>
        <v>6.9274713643407973E-3</v>
      </c>
      <c r="N54" s="6">
        <f>1/SQRT(1+PI()*I54*((D54*Parameters!$B$13)/Parameters!$B$2)^2)</f>
        <v>0.51619171906272754</v>
      </c>
    </row>
    <row r="55" spans="1:14">
      <c r="A55" s="5" t="s">
        <v>37</v>
      </c>
      <c r="B55" s="5" t="s">
        <v>34</v>
      </c>
      <c r="C55" s="6">
        <v>1.387</v>
      </c>
      <c r="D55" s="7">
        <v>1</v>
      </c>
      <c r="E55" s="8">
        <v>1.3138000000000001</v>
      </c>
      <c r="F55" s="8">
        <v>-2.7185999999999998E-10</v>
      </c>
      <c r="G55" s="9">
        <v>8.2960999999999998E-8</v>
      </c>
      <c r="H55" s="9">
        <v>9.9368999999999995E-8</v>
      </c>
      <c r="I55" s="9">
        <v>1.0497000000000001E-7</v>
      </c>
      <c r="J55" s="10">
        <f t="shared" si="3"/>
        <v>0.83487808068914859</v>
      </c>
      <c r="K55" s="11">
        <f t="shared" si="4"/>
        <v>83.487808068914859</v>
      </c>
      <c r="L55" s="11">
        <f t="shared" si="5"/>
        <v>88.139435067426476</v>
      </c>
      <c r="M55" s="9">
        <f>8.686*(2*PI()*(D55*Parameters!$B$13)/Parameters!$B$2)*ABS(F55)</f>
        <v>4.9490780507223728E-5</v>
      </c>
      <c r="N55" s="6">
        <f>1/SQRT(1+PI()*I55*((D55*Parameters!$B$13)/Parameters!$B$2)^2)</f>
        <v>0.46278349972417221</v>
      </c>
    </row>
    <row r="56" spans="1:14">
      <c r="A56" s="5" t="s">
        <v>37</v>
      </c>
      <c r="B56" s="5" t="s">
        <v>34</v>
      </c>
      <c r="C56" s="6">
        <v>1.387</v>
      </c>
      <c r="D56" s="7">
        <v>1.2</v>
      </c>
      <c r="E56" s="8">
        <v>1.3352999999999999</v>
      </c>
      <c r="F56" s="8">
        <v>-2.6994E-12</v>
      </c>
      <c r="G56" s="9">
        <v>1.1108E-7</v>
      </c>
      <c r="H56" s="9">
        <v>1.2914999999999999E-7</v>
      </c>
      <c r="I56" s="9">
        <v>9.7252000000000003E-8</v>
      </c>
      <c r="J56" s="10">
        <f t="shared" si="3"/>
        <v>0.86008517228029435</v>
      </c>
      <c r="K56" s="11">
        <f t="shared" si="4"/>
        <v>86.008517228029433</v>
      </c>
      <c r="L56" s="11">
        <f t="shared" si="5"/>
        <v>89.338585632649455</v>
      </c>
      <c r="M56" s="9">
        <f>8.686*(2*PI()*(D56*Parameters!$B$13)/Parameters!$B$2)*ABS(F56)</f>
        <v>5.8969504701478589E-7</v>
      </c>
      <c r="N56" s="6">
        <f>1/SQRT(1+PI()*I56*((D56*Parameters!$B$13)/Parameters!$B$2)^2)</f>
        <v>0.41186142563889899</v>
      </c>
    </row>
    <row r="57" spans="1:14">
      <c r="A57" s="5" t="s">
        <v>37</v>
      </c>
      <c r="B57" s="5" t="s">
        <v>34</v>
      </c>
      <c r="C57" s="6">
        <v>1.387</v>
      </c>
      <c r="D57" s="7">
        <v>1.4</v>
      </c>
      <c r="E57" s="8">
        <v>1.3492999999999999</v>
      </c>
      <c r="F57" s="8">
        <v>-4.9820999999999999E-14</v>
      </c>
      <c r="G57" s="9">
        <v>1.4138000000000001E-7</v>
      </c>
      <c r="H57" s="9">
        <v>1.6208999999999999E-7</v>
      </c>
      <c r="I57" s="9">
        <v>9.3953999999999995E-8</v>
      </c>
      <c r="J57" s="10">
        <f t="shared" si="3"/>
        <v>0.87223147634030485</v>
      </c>
      <c r="K57" s="11">
        <f t="shared" si="4"/>
        <v>87.223147634030482</v>
      </c>
      <c r="L57" s="11">
        <f t="shared" si="5"/>
        <v>89.660198449863117</v>
      </c>
      <c r="M57" s="9">
        <f>8.686*(2*PI()*(D57*Parameters!$B$13)/Parameters!$B$2)*ABS(F57)</f>
        <v>1.2697536400759767E-8</v>
      </c>
      <c r="N57" s="6">
        <f>1/SQRT(1+PI()*I57*((D57*Parameters!$B$13)/Parameters!$B$2)^2)</f>
        <v>0.36669307548388413</v>
      </c>
    </row>
    <row r="58" spans="1:14">
      <c r="A58" s="5" t="s">
        <v>37</v>
      </c>
      <c r="B58" s="5" t="s">
        <v>34</v>
      </c>
      <c r="C58" s="6">
        <v>1.387</v>
      </c>
      <c r="D58" s="7">
        <v>1.6</v>
      </c>
      <c r="E58" s="8">
        <v>1.359</v>
      </c>
      <c r="F58" s="8">
        <v>-1.7542999999999999E-15</v>
      </c>
      <c r="G58" s="9">
        <v>1.7209E-7</v>
      </c>
      <c r="H58" s="9">
        <v>1.9628000000000001E-7</v>
      </c>
      <c r="I58" s="9">
        <v>9.3126999999999997E-8</v>
      </c>
      <c r="J58" s="10">
        <f t="shared" si="3"/>
        <v>0.87675769309150187</v>
      </c>
      <c r="K58" s="11">
        <f t="shared" si="4"/>
        <v>87.675769309150184</v>
      </c>
      <c r="L58" s="11">
        <f t="shared" si="5"/>
        <v>89.482186925527088</v>
      </c>
      <c r="M58" s="9">
        <f>8.686*(2*PI()*(D58*Parameters!$B$13)/Parameters!$B$2)*ABS(F58)</f>
        <v>5.1097874637723889E-10</v>
      </c>
      <c r="N58" s="6">
        <f>1/SQRT(1+PI()*I58*((D58*Parameters!$B$13)/Parameters!$B$2)^2)</f>
        <v>0.3273250550883357</v>
      </c>
    </row>
    <row r="59" spans="1:14">
      <c r="A59" s="5" t="s">
        <v>37</v>
      </c>
      <c r="B59" s="5" t="s">
        <v>34</v>
      </c>
      <c r="C59" s="6">
        <v>1.387</v>
      </c>
      <c r="D59" s="7">
        <v>1.8</v>
      </c>
      <c r="E59" s="8">
        <v>1.3660000000000001</v>
      </c>
      <c r="F59" s="8">
        <v>-4.4182E-16</v>
      </c>
      <c r="G59" s="9">
        <v>2.0099E-7</v>
      </c>
      <c r="H59" s="9">
        <v>2.2957000000000001E-7</v>
      </c>
      <c r="I59" s="9">
        <v>9.4024999999999997E-8</v>
      </c>
      <c r="J59" s="10">
        <f t="shared" si="3"/>
        <v>0.87550638149584004</v>
      </c>
      <c r="K59" s="11">
        <f t="shared" si="4"/>
        <v>87.550638149584003</v>
      </c>
      <c r="L59" s="11">
        <f t="shared" si="5"/>
        <v>88.896585002542466</v>
      </c>
      <c r="M59" s="9">
        <f>8.686*(2*PI()*(D59*Parameters!$B$13)/Parameters!$B$2)*ABS(F59)</f>
        <v>1.4477609783956028E-10</v>
      </c>
      <c r="N59" s="6">
        <f>1/SQRT(1+PI()*I59*((D59*Parameters!$B$13)/Parameters!$B$2)^2)</f>
        <v>0.29299564548972007</v>
      </c>
    </row>
    <row r="60" spans="1:14">
      <c r="A60" s="5" t="s">
        <v>37</v>
      </c>
      <c r="B60" s="5" t="s">
        <v>34</v>
      </c>
      <c r="C60" s="6">
        <v>1.387</v>
      </c>
      <c r="D60" s="7">
        <v>2</v>
      </c>
      <c r="E60" s="8">
        <v>1.3714</v>
      </c>
      <c r="F60" s="8">
        <v>-3.0986999999999997E-17</v>
      </c>
      <c r="G60" s="9">
        <v>2.2555E-7</v>
      </c>
      <c r="H60" s="9">
        <v>2.5951000000000003E-7</v>
      </c>
      <c r="I60" s="9">
        <v>9.6351E-8</v>
      </c>
      <c r="J60" s="10">
        <f t="shared" si="3"/>
        <v>0.86913799082886978</v>
      </c>
      <c r="K60" s="11">
        <f t="shared" si="4"/>
        <v>86.913799082886982</v>
      </c>
      <c r="L60" s="11">
        <f t="shared" si="5"/>
        <v>87.902464144643602</v>
      </c>
      <c r="M60" s="9">
        <f>8.686*(2*PI()*(D60*Parameters!$B$13)/Parameters!$B$2)*ABS(F60)</f>
        <v>1.1282062941053055E-11</v>
      </c>
      <c r="N60" s="6">
        <f>1/SQRT(1+PI()*I60*((D60*Parameters!$B$13)/Parameters!$B$2)^2)</f>
        <v>0.26286887260880226</v>
      </c>
    </row>
    <row r="61" spans="1:14">
      <c r="A61" s="5" t="s">
        <v>37</v>
      </c>
      <c r="B61" s="5" t="s">
        <v>34</v>
      </c>
      <c r="C61" s="6">
        <v>1.387</v>
      </c>
      <c r="D61" s="7">
        <v>2.2000000000000002</v>
      </c>
      <c r="E61" s="8">
        <v>1.3757999999999999</v>
      </c>
      <c r="F61" s="8">
        <v>-1.1637999999999999E-17</v>
      </c>
      <c r="G61" s="9">
        <v>2.4315E-7</v>
      </c>
      <c r="H61" s="9">
        <v>2.8358E-7</v>
      </c>
      <c r="I61" s="9">
        <v>9.9954999999999997E-8</v>
      </c>
      <c r="J61" s="10">
        <f t="shared" si="3"/>
        <v>0.85743000211580511</v>
      </c>
      <c r="K61" s="11">
        <f t="shared" si="4"/>
        <v>85.743000211580508</v>
      </c>
      <c r="L61" s="11">
        <f t="shared" si="5"/>
        <v>86.441009807720732</v>
      </c>
      <c r="M61" s="9">
        <f>8.686*(2*PI()*(D61*Parameters!$B$13)/Parameters!$B$2)*ABS(F61)</f>
        <v>4.6610098866870948E-12</v>
      </c>
      <c r="N61" s="6">
        <f>1/SQRT(1+PI()*I61*((D61*Parameters!$B$13)/Parameters!$B$2)^2)</f>
        <v>0.2362899478794834</v>
      </c>
    </row>
    <row r="62" spans="1:14">
      <c r="A62" s="5" t="s">
        <v>37</v>
      </c>
      <c r="B62" s="5" t="s">
        <v>34</v>
      </c>
      <c r="C62" s="6">
        <v>1.387</v>
      </c>
      <c r="D62" s="7">
        <v>2.4</v>
      </c>
      <c r="E62" s="8">
        <v>1.3794</v>
      </c>
      <c r="F62" s="8">
        <v>-3.5285999999999999E-18</v>
      </c>
      <c r="G62" s="9">
        <v>2.5148999999999998E-7</v>
      </c>
      <c r="H62" s="9">
        <v>2.9960000000000001E-7</v>
      </c>
      <c r="I62" s="9">
        <v>1.0458E-7</v>
      </c>
      <c r="J62" s="10">
        <f t="shared" si="3"/>
        <v>0.83941922563417881</v>
      </c>
      <c r="K62" s="11">
        <f t="shared" si="4"/>
        <v>83.941922563417876</v>
      </c>
      <c r="L62" s="11">
        <f t="shared" si="5"/>
        <v>84.404412494896775</v>
      </c>
      <c r="M62" s="9">
        <f>8.686*(2*PI()*(D62*Parameters!$B$13)/Parameters!$B$2)*ABS(F62)</f>
        <v>1.5416744038648392E-12</v>
      </c>
      <c r="N62" s="6">
        <f>1/SQRT(1+PI()*I62*((D62*Parameters!$B$13)/Parameters!$B$2)^2)</f>
        <v>0.21292901730597288</v>
      </c>
    </row>
    <row r="63" spans="1:14">
      <c r="A63" s="5" t="s">
        <v>37</v>
      </c>
      <c r="B63" s="5" t="s">
        <v>34</v>
      </c>
      <c r="C63" s="6">
        <v>1.387</v>
      </c>
      <c r="D63" s="7">
        <v>2.6</v>
      </c>
      <c r="E63" s="8">
        <v>1.3827</v>
      </c>
      <c r="F63" s="8">
        <v>-1.4423E-16</v>
      </c>
      <c r="G63" s="9">
        <v>2.4932000000000001E-7</v>
      </c>
      <c r="H63" s="9">
        <v>3.0639999999999999E-7</v>
      </c>
      <c r="I63" s="9">
        <v>1.0949E-7</v>
      </c>
      <c r="J63" s="10">
        <f t="shared" si="3"/>
        <v>0.81370757180156661</v>
      </c>
      <c r="K63" s="11">
        <f t="shared" si="4"/>
        <v>81.370757180156659</v>
      </c>
      <c r="L63" s="11">
        <f t="shared" si="5"/>
        <v>81.623808641699057</v>
      </c>
      <c r="M63" s="9">
        <f>8.686*(2*PI()*(D63*Parameters!$B$13)/Parameters!$B$2)*ABS(F63)</f>
        <v>6.8266547887323937E-11</v>
      </c>
      <c r="N63" s="6">
        <f>1/SQRT(1+PI()*I63*((D63*Parameters!$B$13)/Parameters!$B$2)^2)</f>
        <v>0.19290797823415931</v>
      </c>
    </row>
    <row r="64" spans="1:14">
      <c r="A64" s="5" t="s">
        <v>37</v>
      </c>
      <c r="B64" s="5" t="s">
        <v>34</v>
      </c>
      <c r="C64" s="6">
        <v>1.387</v>
      </c>
      <c r="D64" s="7">
        <v>2.8</v>
      </c>
      <c r="E64" s="8">
        <v>1.3857999999999999</v>
      </c>
      <c r="F64" s="8">
        <v>-1.3463000000000001E-16</v>
      </c>
      <c r="G64" s="9">
        <v>2.3712E-7</v>
      </c>
      <c r="H64" s="9">
        <v>3.0455000000000001E-7</v>
      </c>
      <c r="I64" s="9">
        <v>1.1287E-7</v>
      </c>
      <c r="J64" s="10">
        <f t="shared" si="3"/>
        <v>0.77859136430799536</v>
      </c>
      <c r="K64" s="11">
        <f t="shared" si="4"/>
        <v>77.859136430799538</v>
      </c>
      <c r="L64" s="11">
        <f t="shared" si="5"/>
        <v>77.926556667281687</v>
      </c>
      <c r="M64" s="9">
        <f>8.686*(2*PI()*(D64*Parameters!$B$13)/Parameters!$B$2)*ABS(F64)</f>
        <v>6.8624448551184744E-11</v>
      </c>
      <c r="N64" s="6">
        <f>1/SQRT(1+PI()*I64*((D64*Parameters!$B$13)/Parameters!$B$2)^2)</f>
        <v>0.1769657967328799</v>
      </c>
    </row>
    <row r="65" spans="1:14">
      <c r="A65" s="5" t="s">
        <v>37</v>
      </c>
      <c r="B65" s="5" t="s">
        <v>34</v>
      </c>
      <c r="C65" s="6">
        <v>1.387</v>
      </c>
      <c r="D65" s="7">
        <v>3</v>
      </c>
      <c r="E65" s="8">
        <v>1.3889</v>
      </c>
      <c r="F65" s="8">
        <v>7.3651000000000004E-17</v>
      </c>
      <c r="G65" s="9">
        <v>2.1738999999999999E-7</v>
      </c>
      <c r="H65" s="9">
        <v>2.9661000000000001E-7</v>
      </c>
      <c r="I65" s="9">
        <v>1.1179E-7</v>
      </c>
      <c r="J65" s="10">
        <f t="shared" si="3"/>
        <v>0.73291527595158623</v>
      </c>
      <c r="K65" s="11">
        <f t="shared" si="4"/>
        <v>73.291527595158627</v>
      </c>
      <c r="L65" s="11">
        <f t="shared" si="5"/>
        <v>73.191265587504503</v>
      </c>
      <c r="M65" s="9">
        <f>8.686*(2*PI()*(D65*Parameters!$B$13)/Parameters!$B$2)*ABS(F65)</f>
        <v>4.0223410672451291E-11</v>
      </c>
      <c r="N65" s="6">
        <f>1/SQRT(1+PI()*I65*((D65*Parameters!$B$13)/Parameters!$B$2)^2)</f>
        <v>0.16627796805209355</v>
      </c>
    </row>
    <row r="66" spans="1:14">
      <c r="A66" s="5" t="s">
        <v>37</v>
      </c>
      <c r="B66" s="5" t="s">
        <v>34</v>
      </c>
      <c r="C66" s="6">
        <v>1.387</v>
      </c>
      <c r="D66" s="7">
        <v>3.2</v>
      </c>
      <c r="E66" s="8">
        <v>1.3920999999999999</v>
      </c>
      <c r="F66" s="8">
        <v>1.4463E-16</v>
      </c>
      <c r="G66" s="9">
        <v>1.9399999999999999E-7</v>
      </c>
      <c r="H66" s="9">
        <v>2.8638E-7</v>
      </c>
      <c r="I66" s="9">
        <v>1.0414E-7</v>
      </c>
      <c r="J66" s="10">
        <f t="shared" ref="J66:J97" si="6">G66/H66</f>
        <v>0.6774216076541657</v>
      </c>
      <c r="K66" s="11">
        <f t="shared" ref="K66:K97" si="7">J66*100</f>
        <v>67.742160765416571</v>
      </c>
      <c r="L66" s="11">
        <f t="shared" ref="L66:L97" si="8">C66/E66*J66*100</f>
        <v>67.493985332686435</v>
      </c>
      <c r="M66" s="9">
        <f>8.686*(2*PI()*(D66*Parameters!$B$13)/Parameters!$B$2)*ABS(F66)</f>
        <v>8.4253384356769146E-11</v>
      </c>
      <c r="N66" s="6">
        <f>1/SQRT(1+PI()*I66*((D66*Parameters!$B$13)/Parameters!$B$2)^2)</f>
        <v>0.16163609026974238</v>
      </c>
    </row>
    <row r="67" spans="1:14">
      <c r="A67" s="5" t="s">
        <v>37</v>
      </c>
      <c r="B67" s="5" t="s">
        <v>35</v>
      </c>
      <c r="C67" s="6">
        <v>1.401</v>
      </c>
      <c r="D67" s="7">
        <v>0.8</v>
      </c>
      <c r="E67" s="8">
        <v>1.2899</v>
      </c>
      <c r="F67" s="8">
        <v>-3.1184000000000003E-8</v>
      </c>
      <c r="G67" s="9">
        <v>5.8566000000000003E-8</v>
      </c>
      <c r="H67" s="9">
        <v>7.3776999999999999E-8</v>
      </c>
      <c r="I67" s="9">
        <v>1.1947E-7</v>
      </c>
      <c r="J67" s="10">
        <f t="shared" si="6"/>
        <v>0.79382463369342748</v>
      </c>
      <c r="K67" s="11">
        <f t="shared" si="7"/>
        <v>79.382463369342744</v>
      </c>
      <c r="L67" s="11">
        <f t="shared" si="8"/>
        <v>86.219731126792155</v>
      </c>
      <c r="M67" s="9">
        <f>8.686*(2*PI()*(D67*Parameters!$B$13)/Parameters!$B$2)*ABS(F67)</f>
        <v>4.5415154839616428E-3</v>
      </c>
      <c r="N67" s="6">
        <f>1/SQRT(1+PI()*I67*((D67*Parameters!$B$13)/Parameters!$B$2)^2)</f>
        <v>0.52180511388005446</v>
      </c>
    </row>
    <row r="68" spans="1:14">
      <c r="A68" s="5" t="s">
        <v>37</v>
      </c>
      <c r="B68" s="5" t="s">
        <v>35</v>
      </c>
      <c r="C68" s="6">
        <v>1.401</v>
      </c>
      <c r="D68" s="7">
        <v>1</v>
      </c>
      <c r="E68" s="8">
        <v>1.3258000000000001</v>
      </c>
      <c r="F68" s="8">
        <v>-1.5491000000000001E-10</v>
      </c>
      <c r="G68" s="9">
        <v>8.3808000000000005E-8</v>
      </c>
      <c r="H68" s="9">
        <v>9.9290999999999999E-8</v>
      </c>
      <c r="I68" s="9">
        <v>1.0195E-7</v>
      </c>
      <c r="J68" s="10">
        <f t="shared" si="6"/>
        <v>0.84406441671450594</v>
      </c>
      <c r="K68" s="11">
        <f t="shared" si="7"/>
        <v>84.406441671450594</v>
      </c>
      <c r="L68" s="11">
        <f t="shared" si="8"/>
        <v>89.194014769725655</v>
      </c>
      <c r="M68" s="9">
        <f>8.686*(2*PI()*(D68*Parameters!$B$13)/Parameters!$B$2)*ABS(F68)</f>
        <v>2.8200606225167472E-5</v>
      </c>
      <c r="N68" s="6">
        <f>1/SQRT(1+PI()*I68*((D68*Parameters!$B$13)/Parameters!$B$2)^2)</f>
        <v>0.46810532345966205</v>
      </c>
    </row>
    <row r="69" spans="1:14">
      <c r="A69" s="5" t="s">
        <v>37</v>
      </c>
      <c r="B69" s="5" t="s">
        <v>35</v>
      </c>
      <c r="C69" s="6">
        <v>1.401</v>
      </c>
      <c r="D69" s="7">
        <v>1.2</v>
      </c>
      <c r="E69" s="8">
        <v>1.3474999999999999</v>
      </c>
      <c r="F69" s="8">
        <v>-1.3282999999999999E-12</v>
      </c>
      <c r="G69" s="9">
        <v>1.1319999999999999E-7</v>
      </c>
      <c r="H69" s="9">
        <v>1.3024000000000001E-7</v>
      </c>
      <c r="I69" s="9">
        <v>9.4291999999999995E-8</v>
      </c>
      <c r="J69" s="10">
        <f t="shared" si="6"/>
        <v>0.86916461916461907</v>
      </c>
      <c r="K69" s="11">
        <f t="shared" si="7"/>
        <v>86.916461916461913</v>
      </c>
      <c r="L69" s="11">
        <f t="shared" si="8"/>
        <v>90.367319588098809</v>
      </c>
      <c r="M69" s="9">
        <f>8.686*(2*PI()*(D69*Parameters!$B$13)/Parameters!$B$2)*ABS(F69)</f>
        <v>2.9017260537517226E-7</v>
      </c>
      <c r="N69" s="6">
        <f>1/SQRT(1+PI()*I69*((D69*Parameters!$B$13)/Parameters!$B$2)^2)</f>
        <v>0.41716678794051648</v>
      </c>
    </row>
    <row r="70" spans="1:14">
      <c r="A70" s="5" t="s">
        <v>37</v>
      </c>
      <c r="B70" s="5" t="s">
        <v>35</v>
      </c>
      <c r="C70" s="6">
        <v>1.401</v>
      </c>
      <c r="D70" s="7">
        <v>1.4</v>
      </c>
      <c r="E70" s="8">
        <v>1.3616999999999999</v>
      </c>
      <c r="F70" s="8">
        <v>-2.0944999999999999E-14</v>
      </c>
      <c r="G70" s="9">
        <v>1.4548E-7</v>
      </c>
      <c r="H70" s="9">
        <v>1.6492E-7</v>
      </c>
      <c r="I70" s="9">
        <v>9.0790999999999996E-8</v>
      </c>
      <c r="J70" s="10">
        <f t="shared" si="6"/>
        <v>0.88212466650497212</v>
      </c>
      <c r="K70" s="11">
        <f t="shared" si="7"/>
        <v>88.212466650497205</v>
      </c>
      <c r="L70" s="11">
        <f t="shared" si="8"/>
        <v>90.758365115184418</v>
      </c>
      <c r="M70" s="9">
        <f>8.686*(2*PI()*(D70*Parameters!$B$13)/Parameters!$B$2)*ABS(F70)</f>
        <v>5.3381084264449396E-9</v>
      </c>
      <c r="N70" s="6">
        <f>1/SQRT(1+PI()*I70*((D70*Parameters!$B$13)/Parameters!$B$2)^2)</f>
        <v>0.37215520605763452</v>
      </c>
    </row>
    <row r="71" spans="1:14">
      <c r="A71" s="5" t="s">
        <v>37</v>
      </c>
      <c r="B71" s="5" t="s">
        <v>35</v>
      </c>
      <c r="C71" s="6">
        <v>1.401</v>
      </c>
      <c r="D71" s="7">
        <v>1.6</v>
      </c>
      <c r="E71" s="8">
        <v>1.3714</v>
      </c>
      <c r="F71" s="8">
        <v>-6.0743999999999997E-16</v>
      </c>
      <c r="G71" s="9">
        <v>1.7909E-7</v>
      </c>
      <c r="H71" s="9">
        <v>2.0170000000000001E-7</v>
      </c>
      <c r="I71" s="9">
        <v>8.9558E-8</v>
      </c>
      <c r="J71" s="10">
        <f t="shared" si="6"/>
        <v>0.88790282597917691</v>
      </c>
      <c r="K71" s="11">
        <f t="shared" si="7"/>
        <v>88.790282597917695</v>
      </c>
      <c r="L71" s="11">
        <f t="shared" si="8"/>
        <v>90.706712789618408</v>
      </c>
      <c r="M71" s="9">
        <f>8.686*(2*PI()*(D71*Parameters!$B$13)/Parameters!$B$2)*ABS(F71)</f>
        <v>1.7693035951626858E-10</v>
      </c>
      <c r="N71" s="6">
        <f>1/SQRT(1+PI()*I71*((D71*Parameters!$B$13)/Parameters!$B$2)^2)</f>
        <v>0.33307318958148552</v>
      </c>
    </row>
    <row r="72" spans="1:14">
      <c r="A72" s="5" t="s">
        <v>37</v>
      </c>
      <c r="B72" s="5" t="s">
        <v>35</v>
      </c>
      <c r="C72" s="6">
        <v>1.401</v>
      </c>
      <c r="D72" s="7">
        <v>1.8</v>
      </c>
      <c r="E72" s="8">
        <v>1.3784000000000001</v>
      </c>
      <c r="F72" s="8">
        <v>-5.2807999999999998E-17</v>
      </c>
      <c r="G72" s="9">
        <v>2.1213999999999999E-7</v>
      </c>
      <c r="H72" s="9">
        <v>2.3871E-7</v>
      </c>
      <c r="I72" s="9">
        <v>8.9858999999999998E-8</v>
      </c>
      <c r="J72" s="10">
        <f t="shared" si="6"/>
        <v>0.88869339365757616</v>
      </c>
      <c r="K72" s="11">
        <f t="shared" si="7"/>
        <v>88.869339365757611</v>
      </c>
      <c r="L72" s="11">
        <f t="shared" si="8"/>
        <v>90.326425167894968</v>
      </c>
      <c r="M72" s="9">
        <f>8.686*(2*PI()*(D72*Parameters!$B$13)/Parameters!$B$2)*ABS(F72)</f>
        <v>1.7304187621002896E-11</v>
      </c>
      <c r="N72" s="6">
        <f>1/SQRT(1+PI()*I72*((D72*Parameters!$B$13)/Parameters!$B$2)^2)</f>
        <v>0.29911591542397548</v>
      </c>
    </row>
    <row r="73" spans="1:14">
      <c r="A73" s="5" t="s">
        <v>37</v>
      </c>
      <c r="B73" s="5" t="s">
        <v>35</v>
      </c>
      <c r="C73" s="6">
        <v>1.401</v>
      </c>
      <c r="D73" s="7">
        <v>2</v>
      </c>
      <c r="E73" s="8">
        <v>1.3837999999999999</v>
      </c>
      <c r="F73" s="8">
        <v>-3.9229E-17</v>
      </c>
      <c r="G73" s="9">
        <v>2.4233999999999998E-7</v>
      </c>
      <c r="H73" s="9">
        <v>2.7374000000000001E-7</v>
      </c>
      <c r="I73" s="9">
        <v>9.1398999999999997E-8</v>
      </c>
      <c r="J73" s="10">
        <f t="shared" si="6"/>
        <v>0.88529261342880095</v>
      </c>
      <c r="K73" s="11">
        <f t="shared" si="7"/>
        <v>88.529261342880091</v>
      </c>
      <c r="L73" s="11">
        <f t="shared" si="8"/>
        <v>89.629639500921371</v>
      </c>
      <c r="M73" s="9">
        <f>8.686*(2*PI()*(D73*Parameters!$B$13)/Parameters!$B$2)*ABS(F73)</f>
        <v>1.4282894346486279E-11</v>
      </c>
      <c r="N73" s="6">
        <f>1/SQRT(1+PI()*I73*((D73*Parameters!$B$13)/Parameters!$B$2)^2)</f>
        <v>0.26939225568383918</v>
      </c>
    </row>
    <row r="74" spans="1:14">
      <c r="A74" s="5" t="s">
        <v>37</v>
      </c>
      <c r="B74" s="5" t="s">
        <v>35</v>
      </c>
      <c r="C74" s="6">
        <v>1.401</v>
      </c>
      <c r="D74" s="7">
        <v>2.2000000000000002</v>
      </c>
      <c r="E74" s="8">
        <v>1.3878999999999999</v>
      </c>
      <c r="F74" s="8">
        <v>3.7303000000000001E-18</v>
      </c>
      <c r="G74" s="9">
        <v>2.6715000000000001E-7</v>
      </c>
      <c r="H74" s="9">
        <v>3.0433000000000003E-7</v>
      </c>
      <c r="I74" s="9">
        <v>9.4069999999999995E-8</v>
      </c>
      <c r="J74" s="10">
        <f t="shared" si="6"/>
        <v>0.87782998718496363</v>
      </c>
      <c r="K74" s="11">
        <f t="shared" si="7"/>
        <v>87.782998718496358</v>
      </c>
      <c r="L74" s="11">
        <f t="shared" si="8"/>
        <v>88.611557896543999</v>
      </c>
      <c r="M74" s="9">
        <f>8.686*(2*PI()*(D74*Parameters!$B$13)/Parameters!$B$2)*ABS(F74)</f>
        <v>1.4939822289318501E-12</v>
      </c>
      <c r="N74" s="6">
        <f>1/SQRT(1+PI()*I74*((D74*Parameters!$B$13)/Parameters!$B$2)^2)</f>
        <v>0.24314468735096226</v>
      </c>
    </row>
    <row r="75" spans="1:14">
      <c r="A75" s="5" t="s">
        <v>37</v>
      </c>
      <c r="B75" s="5" t="s">
        <v>35</v>
      </c>
      <c r="C75" s="6">
        <v>1.401</v>
      </c>
      <c r="D75" s="7">
        <v>2.4</v>
      </c>
      <c r="E75" s="8">
        <v>1.3914</v>
      </c>
      <c r="F75" s="8">
        <v>-1.1039E-17</v>
      </c>
      <c r="G75" s="9">
        <v>2.8401000000000001E-7</v>
      </c>
      <c r="H75" s="9">
        <v>3.2802E-7</v>
      </c>
      <c r="I75" s="9">
        <v>9.7815999999999994E-8</v>
      </c>
      <c r="J75" s="10">
        <f t="shared" si="6"/>
        <v>0.86583135174684478</v>
      </c>
      <c r="K75" s="11">
        <f t="shared" si="7"/>
        <v>86.583135174684472</v>
      </c>
      <c r="L75" s="11">
        <f t="shared" si="8"/>
        <v>87.180517737338619</v>
      </c>
      <c r="M75" s="9">
        <f>8.686*(2*PI()*(D75*Parameters!$B$13)/Parameters!$B$2)*ABS(F75)</f>
        <v>4.8230300244470777E-12</v>
      </c>
      <c r="N75" s="6">
        <f>1/SQRT(1+PI()*I75*((D75*Parameters!$B$13)/Parameters!$B$2)^2)</f>
        <v>0.21982368648020931</v>
      </c>
    </row>
    <row r="76" spans="1:14">
      <c r="A76" s="5" t="s">
        <v>37</v>
      </c>
      <c r="B76" s="5" t="s">
        <v>35</v>
      </c>
      <c r="C76" s="6">
        <v>1.401</v>
      </c>
      <c r="D76" s="7">
        <v>2.6</v>
      </c>
      <c r="E76" s="8">
        <v>1.3943000000000001</v>
      </c>
      <c r="F76" s="8">
        <v>1.7386E-17</v>
      </c>
      <c r="G76" s="9">
        <v>2.9078000000000001E-7</v>
      </c>
      <c r="H76" s="9">
        <v>3.4275999999999998E-7</v>
      </c>
      <c r="I76" s="9">
        <v>1.0246000000000001E-7</v>
      </c>
      <c r="J76" s="10">
        <f t="shared" si="6"/>
        <v>0.84834869879799291</v>
      </c>
      <c r="K76" s="11">
        <f t="shared" si="7"/>
        <v>84.834869879799285</v>
      </c>
      <c r="L76" s="11">
        <f t="shared" si="8"/>
        <v>85.242525067488202</v>
      </c>
      <c r="M76" s="9">
        <f>8.686*(2*PI()*(D76*Parameters!$B$13)/Parameters!$B$2)*ABS(F76)</f>
        <v>8.2290938193788665E-12</v>
      </c>
      <c r="N76" s="6">
        <f>1/SQRT(1+PI()*I76*((D76*Parameters!$B$13)/Parameters!$B$2)^2)</f>
        <v>0.19916201280308521</v>
      </c>
    </row>
    <row r="77" spans="1:14">
      <c r="A77" s="5" t="s">
        <v>37</v>
      </c>
      <c r="B77" s="5" t="s">
        <v>35</v>
      </c>
      <c r="C77" s="6">
        <v>1.401</v>
      </c>
      <c r="D77" s="7">
        <v>2.8</v>
      </c>
      <c r="E77" s="8">
        <v>1.397</v>
      </c>
      <c r="F77" s="8">
        <v>-1.9419E-18</v>
      </c>
      <c r="G77" s="9">
        <v>2.8643E-7</v>
      </c>
      <c r="H77" s="9">
        <v>3.4760999999999997E-7</v>
      </c>
      <c r="I77" s="9">
        <v>1.074E-7</v>
      </c>
      <c r="J77" s="10">
        <f t="shared" si="6"/>
        <v>0.82399815885618943</v>
      </c>
      <c r="K77" s="11">
        <f t="shared" si="7"/>
        <v>82.399815885618949</v>
      </c>
      <c r="L77" s="11">
        <f t="shared" si="8"/>
        <v>82.635749503043769</v>
      </c>
      <c r="M77" s="9">
        <f>8.686*(2*PI()*(D77*Parameters!$B$13)/Parameters!$B$2)*ABS(F77)</f>
        <v>9.8983745555630737E-13</v>
      </c>
      <c r="N77" s="6">
        <f>1/SQRT(1+PI()*I77*((D77*Parameters!$B$13)/Parameters!$B$2)^2)</f>
        <v>0.18127185658034606</v>
      </c>
    </row>
    <row r="78" spans="1:14">
      <c r="A78" s="5" t="s">
        <v>37</v>
      </c>
      <c r="B78" s="5" t="s">
        <v>35</v>
      </c>
      <c r="C78" s="6">
        <v>1.401</v>
      </c>
      <c r="D78" s="7">
        <v>3</v>
      </c>
      <c r="E78" s="8">
        <v>1.3995</v>
      </c>
      <c r="F78" s="8">
        <v>4.4309000000000004E-19</v>
      </c>
      <c r="G78" s="9">
        <v>2.7161999999999999E-7</v>
      </c>
      <c r="H78" s="9">
        <v>3.4326000000000002E-7</v>
      </c>
      <c r="I78" s="9">
        <v>1.1115E-7</v>
      </c>
      <c r="J78" s="10">
        <f t="shared" si="6"/>
        <v>0.79129522810697428</v>
      </c>
      <c r="K78" s="11">
        <f t="shared" si="7"/>
        <v>79.129522810697424</v>
      </c>
      <c r="L78" s="11">
        <f t="shared" si="8"/>
        <v>79.214334732252311</v>
      </c>
      <c r="M78" s="9">
        <f>8.686*(2*PI()*(D78*Parameters!$B$13)/Parameters!$B$2)*ABS(F78)</f>
        <v>2.4198708822495883E-13</v>
      </c>
      <c r="N78" s="6">
        <f>1/SQRT(1+PI()*I78*((D78*Parameters!$B$13)/Parameters!$B$2)^2)</f>
        <v>0.16674272182530278</v>
      </c>
    </row>
    <row r="79" spans="1:14">
      <c r="A79" s="5" t="s">
        <v>37</v>
      </c>
      <c r="B79" s="5" t="s">
        <v>35</v>
      </c>
      <c r="C79" s="6">
        <v>1.401</v>
      </c>
      <c r="D79" s="7">
        <v>3.2</v>
      </c>
      <c r="E79" s="8">
        <v>1.4020999999999999</v>
      </c>
      <c r="F79" s="8">
        <v>9.3847000000000006E-18</v>
      </c>
      <c r="G79" s="9">
        <v>2.4892999999999999E-7</v>
      </c>
      <c r="H79" s="9">
        <v>3.3237E-7</v>
      </c>
      <c r="I79" s="9">
        <v>1.1116E-7</v>
      </c>
      <c r="J79" s="10">
        <f t="shared" si="6"/>
        <v>0.74895447844269936</v>
      </c>
      <c r="K79" s="11">
        <f t="shared" si="7"/>
        <v>74.895447844269938</v>
      </c>
      <c r="L79" s="11">
        <f t="shared" si="8"/>
        <v>74.83668955839255</v>
      </c>
      <c r="M79" s="9">
        <f>8.686*(2*PI()*(D79*Parameters!$B$13)/Parameters!$B$2)*ABS(F79)</f>
        <v>5.467003638062445E-12</v>
      </c>
      <c r="N79" s="6">
        <f>1/SQRT(1+PI()*I79*((D79*Parameters!$B$13)/Parameters!$B$2)^2)</f>
        <v>0.15657824753210073</v>
      </c>
    </row>
    <row r="80" spans="1:14">
      <c r="A80" s="5" t="s">
        <v>38</v>
      </c>
      <c r="B80" s="5" t="s">
        <v>34</v>
      </c>
      <c r="C80" s="6">
        <v>1.3680000000000001</v>
      </c>
      <c r="D80" s="7">
        <v>0.8</v>
      </c>
      <c r="E80" s="8">
        <v>1.2636000000000001</v>
      </c>
      <c r="F80" s="8">
        <v>-8.4101000000000006E-8</v>
      </c>
      <c r="G80" s="9">
        <v>5.8560999999999997E-8</v>
      </c>
      <c r="H80" s="9">
        <v>7.6140000000000005E-8</v>
      </c>
      <c r="I80" s="9">
        <v>1.2833000000000001E-7</v>
      </c>
      <c r="J80" s="10">
        <f t="shared" si="6"/>
        <v>0.76912266876805879</v>
      </c>
      <c r="K80" s="11">
        <f t="shared" si="7"/>
        <v>76.912266876805873</v>
      </c>
      <c r="L80" s="11">
        <f t="shared" si="8"/>
        <v>83.266841633009221</v>
      </c>
      <c r="M80" s="9">
        <f>8.686*(2*PI()*(D80*Parameters!$B$13)/Parameters!$B$2)*ABS(F80)</f>
        <v>1.2248139870339216E-2</v>
      </c>
      <c r="N80" s="6">
        <f>1/SQRT(1+PI()*I80*((D80*Parameters!$B$13)/Parameters!$B$2)^2)</f>
        <v>0.50827009081274743</v>
      </c>
    </row>
    <row r="81" spans="1:14">
      <c r="A81" s="5" t="s">
        <v>38</v>
      </c>
      <c r="B81" s="5" t="s">
        <v>34</v>
      </c>
      <c r="C81" s="6">
        <v>1.3680000000000001</v>
      </c>
      <c r="D81" s="7">
        <v>1</v>
      </c>
      <c r="E81" s="8">
        <v>1.2978000000000001</v>
      </c>
      <c r="F81" s="8">
        <v>-5.8211999999999995E-10</v>
      </c>
      <c r="G81" s="9">
        <v>8.1920999999999996E-8</v>
      </c>
      <c r="H81" s="9">
        <v>9.9734999999999999E-8</v>
      </c>
      <c r="I81" s="9">
        <v>1.0942E-7</v>
      </c>
      <c r="J81" s="10">
        <f t="shared" si="6"/>
        <v>0.82138667468792292</v>
      </c>
      <c r="K81" s="11">
        <f t="shared" si="7"/>
        <v>82.138667468792292</v>
      </c>
      <c r="L81" s="11">
        <f t="shared" si="8"/>
        <v>86.581674446993262</v>
      </c>
      <c r="M81" s="9">
        <f>8.686*(2*PI()*(D81*Parameters!$B$13)/Parameters!$B$2)*ABS(F81)</f>
        <v>1.0597209280094562E-4</v>
      </c>
      <c r="N81" s="6">
        <f>1/SQRT(1+PI()*I81*((D81*Parameters!$B$13)/Parameters!$B$2)^2)</f>
        <v>0.45526236561980943</v>
      </c>
    </row>
    <row r="82" spans="1:14">
      <c r="A82" s="5" t="s">
        <v>38</v>
      </c>
      <c r="B82" s="5" t="s">
        <v>34</v>
      </c>
      <c r="C82" s="6">
        <v>1.3680000000000001</v>
      </c>
      <c r="D82" s="7">
        <v>1.2</v>
      </c>
      <c r="E82" s="8">
        <v>1.3189</v>
      </c>
      <c r="F82" s="8">
        <v>-7.0632E-12</v>
      </c>
      <c r="G82" s="9">
        <v>1.0828E-7</v>
      </c>
      <c r="H82" s="9">
        <v>1.2793999999999999E-7</v>
      </c>
      <c r="I82" s="9">
        <v>1.0164E-7</v>
      </c>
      <c r="J82" s="10">
        <f t="shared" si="6"/>
        <v>0.84633421916523377</v>
      </c>
      <c r="K82" s="11">
        <f t="shared" si="7"/>
        <v>84.633421916523375</v>
      </c>
      <c r="L82" s="11">
        <f t="shared" si="8"/>
        <v>87.784154357270452</v>
      </c>
      <c r="M82" s="9">
        <f>8.686*(2*PI()*(D82*Parameters!$B$13)/Parameters!$B$2)*ABS(F82)</f>
        <v>1.5429851285748077E-6</v>
      </c>
      <c r="N82" s="6">
        <f>1/SQRT(1+PI()*I82*((D82*Parameters!$B$13)/Parameters!$B$2)^2)</f>
        <v>0.40435622848782216</v>
      </c>
    </row>
    <row r="83" spans="1:14">
      <c r="A83" s="5" t="s">
        <v>38</v>
      </c>
      <c r="B83" s="5" t="s">
        <v>34</v>
      </c>
      <c r="C83" s="6">
        <v>1.3680000000000001</v>
      </c>
      <c r="D83" s="7">
        <v>1.4</v>
      </c>
      <c r="E83" s="8">
        <v>1.3327</v>
      </c>
      <c r="F83" s="8">
        <v>-1.6183E-13</v>
      </c>
      <c r="G83" s="9">
        <v>1.3586E-7</v>
      </c>
      <c r="H83" s="9">
        <v>1.5846999999999999E-7</v>
      </c>
      <c r="I83" s="9">
        <v>9.8686000000000001E-8</v>
      </c>
      <c r="J83" s="10">
        <f t="shared" si="6"/>
        <v>0.85732315264718884</v>
      </c>
      <c r="K83" s="11">
        <f t="shared" si="7"/>
        <v>85.732315264718878</v>
      </c>
      <c r="L83" s="11">
        <f t="shared" si="8"/>
        <v>88.003156961158126</v>
      </c>
      <c r="M83" s="9">
        <f>8.686*(2*PI()*(D83*Parameters!$B$13)/Parameters!$B$2)*ABS(F83)</f>
        <v>4.1244501630536388E-8</v>
      </c>
      <c r="N83" s="6">
        <f>1/SQRT(1+PI()*I83*((D83*Parameters!$B$13)/Parameters!$B$2)^2)</f>
        <v>0.35895265786425995</v>
      </c>
    </row>
    <row r="84" spans="1:14">
      <c r="A84" s="5" t="s">
        <v>38</v>
      </c>
      <c r="B84" s="5" t="s">
        <v>34</v>
      </c>
      <c r="C84" s="6">
        <v>1.3680000000000001</v>
      </c>
      <c r="D84" s="7">
        <v>1.6</v>
      </c>
      <c r="E84" s="8">
        <v>1.3424</v>
      </c>
      <c r="F84" s="8">
        <v>-6.8245999999999997E-15</v>
      </c>
      <c r="G84" s="9">
        <v>1.6252999999999999E-7</v>
      </c>
      <c r="H84" s="9">
        <v>1.8909999999999999E-7</v>
      </c>
      <c r="I84" s="9">
        <v>9.8507999999999998E-8</v>
      </c>
      <c r="J84" s="10">
        <f t="shared" si="6"/>
        <v>0.85949233209941822</v>
      </c>
      <c r="K84" s="11">
        <f t="shared" si="7"/>
        <v>85.949233209941823</v>
      </c>
      <c r="L84" s="11">
        <f t="shared" si="8"/>
        <v>87.588312746722593</v>
      </c>
      <c r="M84" s="9">
        <f>8.686*(2*PI()*(D84*Parameters!$B$13)/Parameters!$B$2)*ABS(F84)</f>
        <v>1.9878159679223075E-9</v>
      </c>
      <c r="N84" s="6">
        <f>1/SQRT(1+PI()*I84*((D84*Parameters!$B$13)/Parameters!$B$2)^2)</f>
        <v>0.31919488113003902</v>
      </c>
    </row>
    <row r="85" spans="1:14">
      <c r="A85" s="5" t="s">
        <v>38</v>
      </c>
      <c r="B85" s="5" t="s">
        <v>34</v>
      </c>
      <c r="C85" s="6">
        <v>1.3680000000000001</v>
      </c>
      <c r="D85" s="7">
        <v>1.8</v>
      </c>
      <c r="E85" s="8">
        <v>1.3494999999999999</v>
      </c>
      <c r="F85" s="8">
        <v>-4.8360999999999998E-16</v>
      </c>
      <c r="G85" s="9">
        <v>1.8575000000000001E-7</v>
      </c>
      <c r="H85" s="9">
        <v>2.1735E-7</v>
      </c>
      <c r="I85" s="9">
        <v>1.0033E-7</v>
      </c>
      <c r="J85" s="10">
        <f t="shared" si="6"/>
        <v>0.85461237635150678</v>
      </c>
      <c r="K85" s="11">
        <f t="shared" si="7"/>
        <v>85.461237635150681</v>
      </c>
      <c r="L85" s="11">
        <f t="shared" si="8"/>
        <v>86.632807028444702</v>
      </c>
      <c r="M85" s="9">
        <f>8.686*(2*PI()*(D85*Parameters!$B$13)/Parameters!$B$2)*ABS(F85)</f>
        <v>1.5846989424695521E-10</v>
      </c>
      <c r="N85" s="6">
        <f>1/SQRT(1+PI()*I85*((D85*Parameters!$B$13)/Parameters!$B$2)^2)</f>
        <v>0.28440817235057747</v>
      </c>
    </row>
    <row r="86" spans="1:14">
      <c r="A86" s="5" t="s">
        <v>38</v>
      </c>
      <c r="B86" s="5" t="s">
        <v>34</v>
      </c>
      <c r="C86" s="6">
        <v>1.3680000000000001</v>
      </c>
      <c r="D86" s="7">
        <v>2</v>
      </c>
      <c r="E86" s="8">
        <v>1.3551</v>
      </c>
      <c r="F86" s="8">
        <v>-1.2684000000000001E-16</v>
      </c>
      <c r="G86" s="9">
        <v>2.0283E-7</v>
      </c>
      <c r="H86" s="9">
        <v>2.4063E-7</v>
      </c>
      <c r="I86" s="9">
        <v>1.0376E-7</v>
      </c>
      <c r="J86" s="10">
        <f t="shared" si="6"/>
        <v>0.84291235506794659</v>
      </c>
      <c r="K86" s="11">
        <f t="shared" si="7"/>
        <v>84.291235506794663</v>
      </c>
      <c r="L86" s="11">
        <f t="shared" si="8"/>
        <v>85.09365373278365</v>
      </c>
      <c r="M86" s="9">
        <f>8.686*(2*PI()*(D86*Parameters!$B$13)/Parameters!$B$2)*ABS(F86)</f>
        <v>4.618120061455351E-11</v>
      </c>
      <c r="N86" s="6">
        <f>1/SQRT(1+PI()*I86*((D86*Parameters!$B$13)/Parameters!$B$2)^2)</f>
        <v>0.25393722680344655</v>
      </c>
    </row>
    <row r="87" spans="1:14">
      <c r="A87" s="5" t="s">
        <v>38</v>
      </c>
      <c r="B87" s="5" t="s">
        <v>34</v>
      </c>
      <c r="C87" s="6">
        <v>1.3680000000000001</v>
      </c>
      <c r="D87" s="7">
        <v>2.2000000000000002</v>
      </c>
      <c r="E87" s="8">
        <v>1.3597999999999999</v>
      </c>
      <c r="F87" s="8">
        <v>-3.0849E-17</v>
      </c>
      <c r="G87" s="9">
        <v>2.114E-7</v>
      </c>
      <c r="H87" s="9">
        <v>2.5669E-7</v>
      </c>
      <c r="I87" s="9">
        <v>1.0836E-7</v>
      </c>
      <c r="J87" s="10">
        <f t="shared" si="6"/>
        <v>0.82356149440959914</v>
      </c>
      <c r="K87" s="11">
        <f t="shared" si="7"/>
        <v>82.356149440959911</v>
      </c>
      <c r="L87" s="11">
        <f t="shared" si="8"/>
        <v>82.852781611437848</v>
      </c>
      <c r="M87" s="9">
        <f>8.686*(2*PI()*(D87*Parameters!$B$13)/Parameters!$B$2)*ABS(F87)</f>
        <v>1.2355000343221361E-11</v>
      </c>
      <c r="N87" s="6">
        <f>1/SQRT(1+PI()*I87*((D87*Parameters!$B$13)/Parameters!$B$2)^2)</f>
        <v>0.22743403385809252</v>
      </c>
    </row>
    <row r="88" spans="1:14">
      <c r="A88" s="5" t="s">
        <v>38</v>
      </c>
      <c r="B88" s="5" t="s">
        <v>34</v>
      </c>
      <c r="C88" s="6">
        <v>1.3680000000000001</v>
      </c>
      <c r="D88" s="7">
        <v>2.4</v>
      </c>
      <c r="E88" s="8">
        <v>1.3638999999999999</v>
      </c>
      <c r="F88" s="8">
        <v>-2.3489000000000001E-16</v>
      </c>
      <c r="G88" s="9">
        <v>2.1014E-7</v>
      </c>
      <c r="H88" s="9">
        <v>2.6434E-7</v>
      </c>
      <c r="I88" s="9">
        <v>1.1301E-7</v>
      </c>
      <c r="J88" s="10">
        <f t="shared" si="6"/>
        <v>0.79496103503064242</v>
      </c>
      <c r="K88" s="11">
        <f t="shared" si="7"/>
        <v>79.496103503064248</v>
      </c>
      <c r="L88" s="11">
        <f t="shared" si="8"/>
        <v>79.735075586327369</v>
      </c>
      <c r="M88" s="9">
        <f>8.686*(2*PI()*(D88*Parameters!$B$13)/Parameters!$B$2)*ABS(F88)</f>
        <v>1.0262537570815963E-10</v>
      </c>
      <c r="N88" s="6">
        <f>1/SQRT(1+PI()*I88*((D88*Parameters!$B$13)/Parameters!$B$2)^2)</f>
        <v>0.20518063957051119</v>
      </c>
    </row>
    <row r="89" spans="1:14">
      <c r="A89" s="5" t="s">
        <v>38</v>
      </c>
      <c r="B89" s="5" t="s">
        <v>34</v>
      </c>
      <c r="C89" s="6">
        <v>1.3680000000000001</v>
      </c>
      <c r="D89" s="7">
        <v>2.6</v>
      </c>
      <c r="E89" s="8">
        <v>1.3677999999999999</v>
      </c>
      <c r="F89" s="8">
        <v>-1.9147000000000001E-16</v>
      </c>
      <c r="G89" s="9">
        <v>1.9957999999999999E-7</v>
      </c>
      <c r="H89" s="9">
        <v>2.6422999999999998E-7</v>
      </c>
      <c r="I89" s="9">
        <v>1.1526E-7</v>
      </c>
      <c r="J89" s="10">
        <f t="shared" si="6"/>
        <v>0.75532679862241237</v>
      </c>
      <c r="K89" s="11">
        <f t="shared" si="7"/>
        <v>75.532679862241238</v>
      </c>
      <c r="L89" s="11">
        <f t="shared" si="8"/>
        <v>75.543724266373758</v>
      </c>
      <c r="M89" s="9">
        <f>8.686*(2*PI()*(D89*Parameters!$B$13)/Parameters!$B$2)*ABS(F89)</f>
        <v>9.0626055078596096E-11</v>
      </c>
      <c r="N89" s="6">
        <f>1/SQRT(1+PI()*I89*((D89*Parameters!$B$13)/Parameters!$B$2)^2)</f>
        <v>0.18819280613897343</v>
      </c>
    </row>
    <row r="90" spans="1:14">
      <c r="A90" s="5" t="s">
        <v>38</v>
      </c>
      <c r="B90" s="5" t="s">
        <v>34</v>
      </c>
      <c r="C90" s="6">
        <v>1.3680000000000001</v>
      </c>
      <c r="D90" s="7">
        <v>2.8</v>
      </c>
      <c r="E90" s="8">
        <v>1.3716999999999999</v>
      </c>
      <c r="F90" s="8">
        <v>1.0524E-16</v>
      </c>
      <c r="G90" s="9">
        <v>1.8234999999999999E-7</v>
      </c>
      <c r="H90" s="9">
        <v>2.5900999999999999E-7</v>
      </c>
      <c r="I90" s="9">
        <v>1.1168E-7</v>
      </c>
      <c r="J90" s="10">
        <f t="shared" si="6"/>
        <v>0.70402687154936106</v>
      </c>
      <c r="K90" s="11">
        <f t="shared" si="7"/>
        <v>70.402687154936103</v>
      </c>
      <c r="L90" s="11">
        <f t="shared" si="8"/>
        <v>70.212784156851058</v>
      </c>
      <c r="M90" s="9">
        <f>8.686*(2*PI()*(D90*Parameters!$B$13)/Parameters!$B$2)*ABS(F90)</f>
        <v>5.3643593296640288E-11</v>
      </c>
      <c r="N90" s="6">
        <f>1/SQRT(1+PI()*I90*((D90*Parameters!$B$13)/Parameters!$B$2)^2)</f>
        <v>0.17787644725012289</v>
      </c>
    </row>
    <row r="91" spans="1:14">
      <c r="A91" s="5" t="s">
        <v>38</v>
      </c>
      <c r="B91" s="5" t="s">
        <v>34</v>
      </c>
      <c r="C91" s="6">
        <v>1.3680000000000001</v>
      </c>
      <c r="D91" s="7">
        <v>3</v>
      </c>
      <c r="E91" s="8">
        <v>1.3758999999999999</v>
      </c>
      <c r="F91" s="8">
        <v>1.5701E-15</v>
      </c>
      <c r="G91" s="9">
        <v>1.6229999999999999E-7</v>
      </c>
      <c r="H91" s="9">
        <v>2.5236000000000002E-7</v>
      </c>
      <c r="I91" s="9">
        <v>1.0109E-7</v>
      </c>
      <c r="J91" s="10">
        <f t="shared" si="6"/>
        <v>0.64312886352829279</v>
      </c>
      <c r="K91" s="11">
        <f t="shared" si="7"/>
        <v>64.312886352829281</v>
      </c>
      <c r="L91" s="11">
        <f t="shared" si="8"/>
        <v>63.943621288371588</v>
      </c>
      <c r="M91" s="9">
        <f>8.686*(2*PI()*(D91*Parameters!$B$13)/Parameters!$B$2)*ABS(F91)</f>
        <v>8.574870279672478E-10</v>
      </c>
      <c r="N91" s="6">
        <f>1/SQRT(1+PI()*I91*((D91*Parameters!$B$13)/Parameters!$B$2)^2)</f>
        <v>0.17460132708993067</v>
      </c>
    </row>
    <row r="92" spans="1:14">
      <c r="A92" s="5" t="s">
        <v>38</v>
      </c>
      <c r="B92" s="5" t="s">
        <v>34</v>
      </c>
      <c r="C92" s="6">
        <v>1.3680000000000001</v>
      </c>
      <c r="D92" s="7">
        <v>3.2</v>
      </c>
      <c r="E92" s="8">
        <v>1.3803000000000001</v>
      </c>
      <c r="F92" s="8">
        <v>6.5307999999999996E-12</v>
      </c>
      <c r="G92" s="9">
        <v>1.4317999999999999E-7</v>
      </c>
      <c r="H92" s="9">
        <v>2.4760000000000002E-7</v>
      </c>
      <c r="I92" s="9">
        <v>8.7022999999999998E-8</v>
      </c>
      <c r="J92" s="10">
        <f t="shared" si="6"/>
        <v>0.57827140549273015</v>
      </c>
      <c r="K92" s="11">
        <f t="shared" si="7"/>
        <v>57.827140549273018</v>
      </c>
      <c r="L92" s="11">
        <f t="shared" si="8"/>
        <v>57.311836753898064</v>
      </c>
      <c r="M92" s="9">
        <f>8.686*(2*PI()*(D92*Parameters!$B$13)/Parameters!$B$2)*ABS(F92)</f>
        <v>3.8044804159385184E-6</v>
      </c>
      <c r="N92" s="6">
        <f>1/SQRT(1+PI()*I92*((D92*Parameters!$B$13)/Parameters!$B$2)^2)</f>
        <v>0.17636689026461666</v>
      </c>
    </row>
    <row r="93" spans="1:14">
      <c r="A93" s="5" t="s">
        <v>38</v>
      </c>
      <c r="B93" s="5" t="s">
        <v>35</v>
      </c>
      <c r="C93" s="6">
        <v>1.3919999999999999</v>
      </c>
      <c r="D93" s="7">
        <v>0.8</v>
      </c>
      <c r="E93" s="8">
        <v>1.2827</v>
      </c>
      <c r="F93" s="8">
        <v>-4.0918000000000003E-8</v>
      </c>
      <c r="G93" s="9">
        <v>5.8526999999999999E-8</v>
      </c>
      <c r="H93" s="9">
        <v>7.4329000000000003E-8</v>
      </c>
      <c r="I93" s="9">
        <v>1.2174999999999999E-7</v>
      </c>
      <c r="J93" s="10">
        <f t="shared" si="6"/>
        <v>0.78740464690766721</v>
      </c>
      <c r="K93" s="11">
        <f t="shared" si="7"/>
        <v>78.740464690766714</v>
      </c>
      <c r="L93" s="11">
        <f t="shared" si="8"/>
        <v>85.450009237972452</v>
      </c>
      <c r="M93" s="9">
        <f>8.686*(2*PI()*(D93*Parameters!$B$13)/Parameters!$B$2)*ABS(F93)</f>
        <v>5.959137075831916E-3</v>
      </c>
      <c r="N93" s="6">
        <f>1/SQRT(1+PI()*I93*((D93*Parameters!$B$13)/Parameters!$B$2)^2)</f>
        <v>0.51821900712638924</v>
      </c>
    </row>
    <row r="94" spans="1:14">
      <c r="A94" s="5" t="s">
        <v>38</v>
      </c>
      <c r="B94" s="5" t="s">
        <v>35</v>
      </c>
      <c r="C94" s="6">
        <v>1.3919999999999999</v>
      </c>
      <c r="D94" s="7">
        <v>1</v>
      </c>
      <c r="E94" s="8">
        <v>1.3181</v>
      </c>
      <c r="F94" s="8">
        <v>-2.2241999999999999E-10</v>
      </c>
      <c r="G94" s="9">
        <v>8.3256000000000001E-8</v>
      </c>
      <c r="H94" s="9">
        <v>9.9323999999999997E-8</v>
      </c>
      <c r="I94" s="9">
        <v>1.0387E-7</v>
      </c>
      <c r="J94" s="10">
        <f t="shared" si="6"/>
        <v>0.83822641053521807</v>
      </c>
      <c r="K94" s="11">
        <f t="shared" si="7"/>
        <v>83.822641053521806</v>
      </c>
      <c r="L94" s="11">
        <f t="shared" si="8"/>
        <v>88.522203434111489</v>
      </c>
      <c r="M94" s="9">
        <f>8.686*(2*PI()*(D94*Parameters!$B$13)/Parameters!$B$2)*ABS(F94)</f>
        <v>4.0490470832107345E-5</v>
      </c>
      <c r="N94" s="6">
        <f>1/SQRT(1+PI()*I94*((D94*Parameters!$B$13)/Parameters!$B$2)^2)</f>
        <v>0.46470083119752342</v>
      </c>
    </row>
    <row r="95" spans="1:14">
      <c r="A95" s="5" t="s">
        <v>38</v>
      </c>
      <c r="B95" s="5" t="s">
        <v>35</v>
      </c>
      <c r="C95" s="6">
        <v>1.3919999999999999</v>
      </c>
      <c r="D95" s="7">
        <v>1.2</v>
      </c>
      <c r="E95" s="8">
        <v>1.3395999999999999</v>
      </c>
      <c r="F95" s="8">
        <v>-2.0957E-12</v>
      </c>
      <c r="G95" s="9">
        <v>1.1183E-7</v>
      </c>
      <c r="H95" s="9">
        <v>1.2952000000000001E-7</v>
      </c>
      <c r="I95" s="9">
        <v>9.6169999999999994E-8</v>
      </c>
      <c r="J95" s="10">
        <f t="shared" si="6"/>
        <v>0.86341877702285352</v>
      </c>
      <c r="K95" s="11">
        <f t="shared" si="7"/>
        <v>86.341877702285359</v>
      </c>
      <c r="L95" s="11">
        <f t="shared" si="8"/>
        <v>89.719239893685582</v>
      </c>
      <c r="M95" s="9">
        <f>8.686*(2*PI()*(D95*Parameters!$B$13)/Parameters!$B$2)*ABS(F95)</f>
        <v>4.5781429578013144E-7</v>
      </c>
      <c r="N95" s="6">
        <f>1/SQRT(1+PI()*I95*((D95*Parameters!$B$13)/Parameters!$B$2)^2)</f>
        <v>0.41377719649286532</v>
      </c>
    </row>
    <row r="96" spans="1:14">
      <c r="A96" s="5" t="s">
        <v>38</v>
      </c>
      <c r="B96" s="5" t="s">
        <v>35</v>
      </c>
      <c r="C96" s="6">
        <v>1.3919999999999999</v>
      </c>
      <c r="D96" s="7">
        <v>1.4</v>
      </c>
      <c r="E96" s="8">
        <v>1.3536999999999999</v>
      </c>
      <c r="F96" s="8">
        <v>-3.6657000000000002E-14</v>
      </c>
      <c r="G96" s="9">
        <v>1.4284E-7</v>
      </c>
      <c r="H96" s="9">
        <v>1.6308E-7</v>
      </c>
      <c r="I96" s="9">
        <v>9.2794000000000004E-8</v>
      </c>
      <c r="J96" s="10">
        <f t="shared" si="6"/>
        <v>0.87588913416727987</v>
      </c>
      <c r="K96" s="11">
        <f t="shared" si="7"/>
        <v>87.588913416727991</v>
      </c>
      <c r="L96" s="11">
        <f t="shared" si="8"/>
        <v>90.067051396975231</v>
      </c>
      <c r="M96" s="9">
        <f>8.686*(2*PI()*(D96*Parameters!$B$13)/Parameters!$B$2)*ABS(F96)</f>
        <v>9.3425180514773056E-9</v>
      </c>
      <c r="N96" s="6">
        <f>1/SQRT(1+PI()*I96*((D96*Parameters!$B$13)/Parameters!$B$2)^2)</f>
        <v>0.36866821864497828</v>
      </c>
    </row>
    <row r="97" spans="1:14">
      <c r="A97" s="5" t="s">
        <v>38</v>
      </c>
      <c r="B97" s="5" t="s">
        <v>35</v>
      </c>
      <c r="C97" s="6">
        <v>1.3919999999999999</v>
      </c>
      <c r="D97" s="7">
        <v>1.6</v>
      </c>
      <c r="E97" s="8">
        <v>1.3633999999999999</v>
      </c>
      <c r="F97" s="8">
        <v>-1.1798E-15</v>
      </c>
      <c r="G97" s="9">
        <v>1.7459E-7</v>
      </c>
      <c r="H97" s="9">
        <v>1.9819999999999999E-7</v>
      </c>
      <c r="I97" s="9">
        <v>9.1815000000000005E-8</v>
      </c>
      <c r="J97" s="10">
        <f t="shared" si="6"/>
        <v>0.88087790110998998</v>
      </c>
      <c r="K97" s="11">
        <f t="shared" si="7"/>
        <v>88.087790110998995</v>
      </c>
      <c r="L97" s="11">
        <f t="shared" si="8"/>
        <v>89.935604983504916</v>
      </c>
      <c r="M97" s="9">
        <f>8.686*(2*PI()*(D97*Parameters!$B$13)/Parameters!$B$2)*ABS(F97)</f>
        <v>3.43642891737939E-10</v>
      </c>
      <c r="N97" s="6">
        <f>1/SQRT(1+PI()*I97*((D97*Parameters!$B$13)/Parameters!$B$2)^2)</f>
        <v>0.3294033684276903</v>
      </c>
    </row>
    <row r="98" spans="1:14">
      <c r="A98" s="5" t="s">
        <v>38</v>
      </c>
      <c r="B98" s="5" t="s">
        <v>35</v>
      </c>
      <c r="C98" s="6">
        <v>1.3919999999999999</v>
      </c>
      <c r="D98" s="7">
        <v>1.8</v>
      </c>
      <c r="E98" s="8">
        <v>1.3704000000000001</v>
      </c>
      <c r="F98" s="8">
        <v>-6.3758000000000002E-17</v>
      </c>
      <c r="G98" s="9">
        <v>2.0498E-7</v>
      </c>
      <c r="H98" s="9">
        <v>2.3281999999999999E-7</v>
      </c>
      <c r="I98" s="9">
        <v>9.2490000000000003E-8</v>
      </c>
      <c r="J98" s="10">
        <f t="shared" ref="J98:J131" si="9">G98/H98</f>
        <v>0.8804226441027404</v>
      </c>
      <c r="K98" s="11">
        <f t="shared" ref="K98:K129" si="10">J98*100</f>
        <v>88.042264410274043</v>
      </c>
      <c r="L98" s="11">
        <f t="shared" ref="L98:L131" si="11">C98/E98*J98*100</f>
        <v>89.429970854569078</v>
      </c>
      <c r="M98" s="9">
        <f>8.686*(2*PI()*(D98*Parameters!$B$13)/Parameters!$B$2)*ABS(F98)</f>
        <v>2.0892296514541408E-11</v>
      </c>
      <c r="N98" s="6">
        <f>1/SQRT(1+PI()*I98*((D98*Parameters!$B$13)/Parameters!$B$2)^2)</f>
        <v>0.29520675358597231</v>
      </c>
    </row>
    <row r="99" spans="1:14">
      <c r="A99" s="5" t="s">
        <v>38</v>
      </c>
      <c r="B99" s="5" t="s">
        <v>35</v>
      </c>
      <c r="C99" s="6">
        <v>1.3919999999999999</v>
      </c>
      <c r="D99" s="7">
        <v>2</v>
      </c>
      <c r="E99" s="8">
        <v>1.3757999999999999</v>
      </c>
      <c r="F99" s="8">
        <v>-2.5395000000000001E-17</v>
      </c>
      <c r="G99" s="9">
        <v>2.3155999999999999E-7</v>
      </c>
      <c r="H99" s="9">
        <v>2.6458E-7</v>
      </c>
      <c r="I99" s="9">
        <v>9.4526999999999997E-8</v>
      </c>
      <c r="J99" s="10">
        <f t="shared" si="9"/>
        <v>0.87519842769672684</v>
      </c>
      <c r="K99" s="11">
        <f t="shared" si="10"/>
        <v>87.519842769672678</v>
      </c>
      <c r="L99" s="11">
        <f t="shared" si="11"/>
        <v>88.550386055665342</v>
      </c>
      <c r="M99" s="9">
        <f>8.686*(2*PI()*(D99*Parameters!$B$13)/Parameters!$B$2)*ABS(F99)</f>
        <v>9.2460705582354654E-12</v>
      </c>
      <c r="N99" s="6">
        <f>1/SQRT(1+PI()*I99*((D99*Parameters!$B$13)/Parameters!$B$2)^2)</f>
        <v>0.26521616798743652</v>
      </c>
    </row>
    <row r="100" spans="1:14">
      <c r="A100" s="5" t="s">
        <v>38</v>
      </c>
      <c r="B100" s="5" t="s">
        <v>35</v>
      </c>
      <c r="C100" s="6">
        <v>1.3919999999999999</v>
      </c>
      <c r="D100" s="7">
        <v>2.2000000000000002</v>
      </c>
      <c r="E100" s="8">
        <v>1.3801000000000001</v>
      </c>
      <c r="F100" s="8">
        <v>3.2984999999999998E-16</v>
      </c>
      <c r="G100" s="9">
        <v>2.5169E-7</v>
      </c>
      <c r="H100" s="9">
        <v>2.9093000000000002E-7</v>
      </c>
      <c r="I100" s="9">
        <v>9.7800000000000002E-8</v>
      </c>
      <c r="J100" s="10">
        <f t="shared" si="9"/>
        <v>0.86512219434228155</v>
      </c>
      <c r="K100" s="11">
        <f t="shared" si="10"/>
        <v>86.512219434228157</v>
      </c>
      <c r="L100" s="11">
        <f t="shared" si="11"/>
        <v>87.258176546949912</v>
      </c>
      <c r="M100" s="9">
        <f>8.686*(2*PI()*(D100*Parameters!$B$13)/Parameters!$B$2)*ABS(F100)</f>
        <v>1.3210466670594073E-10</v>
      </c>
      <c r="N100" s="6">
        <f>1/SQRT(1+PI()*I100*((D100*Parameters!$B$13)/Parameters!$B$2)^2)</f>
        <v>0.23873225278170138</v>
      </c>
    </row>
    <row r="101" spans="1:14">
      <c r="A101" s="5" t="s">
        <v>38</v>
      </c>
      <c r="B101" s="5" t="s">
        <v>35</v>
      </c>
      <c r="C101" s="6">
        <v>1.3919999999999999</v>
      </c>
      <c r="D101" s="7">
        <v>2.4</v>
      </c>
      <c r="E101" s="8">
        <v>1.3835999999999999</v>
      </c>
      <c r="F101" s="8">
        <v>-4.5151000000000003E-17</v>
      </c>
      <c r="G101" s="9">
        <v>2.6296000000000002E-7</v>
      </c>
      <c r="H101" s="9">
        <v>3.0956999999999999E-7</v>
      </c>
      <c r="I101" s="9">
        <v>1.0216E-7</v>
      </c>
      <c r="J101" s="10">
        <f t="shared" si="9"/>
        <v>0.84943631488839366</v>
      </c>
      <c r="K101" s="11">
        <f t="shared" si="10"/>
        <v>84.943631488839372</v>
      </c>
      <c r="L101" s="11">
        <f t="shared" si="11"/>
        <v>85.45933436865019</v>
      </c>
      <c r="M101" s="9">
        <f>8.686*(2*PI()*(D101*Parameters!$B$13)/Parameters!$B$2)*ABS(F101)</f>
        <v>1.9726843793261169E-11</v>
      </c>
      <c r="N101" s="6">
        <f>1/SQRT(1+PI()*I101*((D101*Parameters!$B$13)/Parameters!$B$2)^2)</f>
        <v>0.21532062683950276</v>
      </c>
    </row>
    <row r="102" spans="1:14">
      <c r="A102" s="5" t="s">
        <v>38</v>
      </c>
      <c r="B102" s="5" t="s">
        <v>35</v>
      </c>
      <c r="C102" s="6">
        <v>1.3919999999999999</v>
      </c>
      <c r="D102" s="7">
        <v>2.6</v>
      </c>
      <c r="E102" s="8">
        <v>1.3868</v>
      </c>
      <c r="F102" s="8">
        <v>1.8069000000000001E-16</v>
      </c>
      <c r="G102" s="9">
        <v>2.6374E-7</v>
      </c>
      <c r="H102" s="9">
        <v>3.1894999999999998E-7</v>
      </c>
      <c r="I102" s="9">
        <v>1.0711E-7</v>
      </c>
      <c r="J102" s="10">
        <f t="shared" si="9"/>
        <v>0.82690076814547742</v>
      </c>
      <c r="K102" s="11">
        <f t="shared" si="10"/>
        <v>82.690076814547737</v>
      </c>
      <c r="L102" s="11">
        <f t="shared" si="11"/>
        <v>83.000134789335476</v>
      </c>
      <c r="M102" s="9">
        <f>8.686*(2*PI()*(D102*Parameters!$B$13)/Parameters!$B$2)*ABS(F102)</f>
        <v>8.5523695054846869E-11</v>
      </c>
      <c r="N102" s="6">
        <f>1/SQRT(1+PI()*I102*((D102*Parameters!$B$13)/Parameters!$B$2)^2)</f>
        <v>0.19495883686617582</v>
      </c>
    </row>
    <row r="103" spans="1:14">
      <c r="A103" s="5" t="s">
        <v>38</v>
      </c>
      <c r="B103" s="5" t="s">
        <v>35</v>
      </c>
      <c r="C103" s="6">
        <v>1.3919999999999999</v>
      </c>
      <c r="D103" s="7">
        <v>2.8</v>
      </c>
      <c r="E103" s="8">
        <v>1.3896999999999999</v>
      </c>
      <c r="F103" s="8">
        <v>2.0699000000000001E-16</v>
      </c>
      <c r="G103" s="9">
        <v>2.5394000000000001E-7</v>
      </c>
      <c r="H103" s="9">
        <v>3.1907000000000001E-7</v>
      </c>
      <c r="I103" s="9">
        <v>1.1138E-7</v>
      </c>
      <c r="J103" s="10">
        <f t="shared" si="9"/>
        <v>0.79587551321026739</v>
      </c>
      <c r="K103" s="11">
        <f t="shared" si="10"/>
        <v>79.587551321026737</v>
      </c>
      <c r="L103" s="11">
        <f t="shared" si="11"/>
        <v>79.719271381499041</v>
      </c>
      <c r="M103" s="9">
        <f>8.686*(2*PI()*(D103*Parameters!$B$13)/Parameters!$B$2)*ABS(F103)</f>
        <v>1.055082418896957E-10</v>
      </c>
      <c r="N103" s="6">
        <f>1/SQRT(1+PI()*I103*((D103*Parameters!$B$13)/Parameters!$B$2)^2)</f>
        <v>0.17810825044790934</v>
      </c>
    </row>
    <row r="104" spans="1:14">
      <c r="A104" s="5" t="s">
        <v>38</v>
      </c>
      <c r="B104" s="5" t="s">
        <v>35</v>
      </c>
      <c r="C104" s="6">
        <v>1.3919999999999999</v>
      </c>
      <c r="D104" s="7">
        <v>3</v>
      </c>
      <c r="E104" s="8">
        <v>1.3926000000000001</v>
      </c>
      <c r="F104" s="8">
        <v>-1.182E-16</v>
      </c>
      <c r="G104" s="9">
        <v>2.3540999999999999E-7</v>
      </c>
      <c r="H104" s="9">
        <v>3.1187E-7</v>
      </c>
      <c r="I104" s="9">
        <v>1.1246E-7</v>
      </c>
      <c r="J104" s="10">
        <f t="shared" si="9"/>
        <v>0.75483374482957644</v>
      </c>
      <c r="K104" s="11">
        <f t="shared" si="10"/>
        <v>75.483374482957643</v>
      </c>
      <c r="L104" s="11">
        <f t="shared" si="11"/>
        <v>75.450852563749123</v>
      </c>
      <c r="M104" s="9">
        <f>8.686*(2*PI()*(D104*Parameters!$B$13)/Parameters!$B$2)*ABS(F104)</f>
        <v>6.4553191965944012E-11</v>
      </c>
      <c r="N104" s="6">
        <f>1/SQRT(1+PI()*I104*((D104*Parameters!$B$13)/Parameters!$B$2)^2)</f>
        <v>0.16579556864421457</v>
      </c>
    </row>
    <row r="105" spans="1:14">
      <c r="A105" s="5" t="s">
        <v>38</v>
      </c>
      <c r="B105" s="5" t="s">
        <v>35</v>
      </c>
      <c r="C105" s="6">
        <v>1.3919999999999999</v>
      </c>
      <c r="D105" s="7">
        <v>3.2</v>
      </c>
      <c r="E105" s="8">
        <v>1.3956</v>
      </c>
      <c r="F105" s="8">
        <v>1.7639999999999999E-16</v>
      </c>
      <c r="G105" s="9">
        <v>2.1173999999999999E-7</v>
      </c>
      <c r="H105" s="9">
        <v>3.0088999999999999E-7</v>
      </c>
      <c r="I105" s="9">
        <v>1.0763E-7</v>
      </c>
      <c r="J105" s="10">
        <f t="shared" si="9"/>
        <v>0.70371232011698626</v>
      </c>
      <c r="K105" s="11">
        <f t="shared" si="10"/>
        <v>70.371232011698623</v>
      </c>
      <c r="L105" s="11">
        <f t="shared" si="11"/>
        <v>70.189706907627183</v>
      </c>
      <c r="M105" s="9">
        <f>8.686*(2*PI()*(D105*Parameters!$B$13)/Parameters!$B$2)*ABS(F105)</f>
        <v>1.0276081726152304E-10</v>
      </c>
      <c r="N105" s="6">
        <f>1/SQRT(1+PI()*I105*((D105*Parameters!$B$13)/Parameters!$B$2)^2)</f>
        <v>0.15906128671964492</v>
      </c>
    </row>
    <row r="106" spans="1:14">
      <c r="A106" s="5" t="s">
        <v>39</v>
      </c>
      <c r="B106" s="5" t="s">
        <v>34</v>
      </c>
      <c r="C106" s="6">
        <v>1.36</v>
      </c>
      <c r="D106" s="7">
        <v>0.8</v>
      </c>
      <c r="E106" s="8">
        <v>1.2573000000000001</v>
      </c>
      <c r="F106" s="8">
        <v>-1.0679000000000001E-7</v>
      </c>
      <c r="G106" s="9">
        <v>5.8620999999999999E-8</v>
      </c>
      <c r="H106" s="9">
        <v>7.6864999999999994E-8</v>
      </c>
      <c r="I106" s="9">
        <v>1.307E-7</v>
      </c>
      <c r="J106" s="10">
        <f t="shared" si="9"/>
        <v>0.76264879984388223</v>
      </c>
      <c r="K106" s="11">
        <f t="shared" si="10"/>
        <v>76.264879984388216</v>
      </c>
      <c r="L106" s="11">
        <f t="shared" si="11"/>
        <v>82.494421998542904</v>
      </c>
      <c r="M106" s="9">
        <f>8.686*(2*PI()*(D106*Parameters!$B$13)/Parameters!$B$2)*ABS(F106)</f>
        <v>1.5552476864169567E-2</v>
      </c>
      <c r="N106" s="6">
        <f>1/SQRT(1+PI()*I106*((D106*Parameters!$B$13)/Parameters!$B$2)^2)</f>
        <v>0.50482455461226816</v>
      </c>
    </row>
    <row r="107" spans="1:14">
      <c r="A107" s="5" t="s">
        <v>39</v>
      </c>
      <c r="B107" s="5" t="s">
        <v>34</v>
      </c>
      <c r="C107" s="6">
        <v>1.36</v>
      </c>
      <c r="D107" s="7">
        <v>1</v>
      </c>
      <c r="E107" s="8">
        <v>1.2911999999999999</v>
      </c>
      <c r="F107" s="8">
        <v>-8.016E-10</v>
      </c>
      <c r="G107" s="9">
        <v>8.1521999999999994E-8</v>
      </c>
      <c r="H107" s="9">
        <v>9.9986999999999994E-8</v>
      </c>
      <c r="I107" s="9">
        <v>1.1142E-7</v>
      </c>
      <c r="J107" s="10">
        <f t="shared" si="9"/>
        <v>0.81532599237900927</v>
      </c>
      <c r="K107" s="11">
        <f t="shared" si="10"/>
        <v>81.532599237900925</v>
      </c>
      <c r="L107" s="11">
        <f t="shared" si="11"/>
        <v>85.876963261729628</v>
      </c>
      <c r="M107" s="9">
        <f>8.686*(2*PI()*(D107*Parameters!$B$13)/Parameters!$B$2)*ABS(F107)</f>
        <v>1.4592735104314921E-4</v>
      </c>
      <c r="N107" s="6">
        <f>1/SQRT(1+PI()*I107*((D107*Parameters!$B$13)/Parameters!$B$2)^2)</f>
        <v>0.45199945519643525</v>
      </c>
    </row>
    <row r="108" spans="1:14">
      <c r="A108" s="5" t="s">
        <v>39</v>
      </c>
      <c r="B108" s="5" t="s">
        <v>34</v>
      </c>
      <c r="C108" s="6">
        <v>1.36</v>
      </c>
      <c r="D108" s="7">
        <v>1.2</v>
      </c>
      <c r="E108" s="8">
        <v>1.3120000000000001</v>
      </c>
      <c r="F108" s="8">
        <v>-1.0586999999999999E-11</v>
      </c>
      <c r="G108" s="9">
        <v>1.0712999999999999E-7</v>
      </c>
      <c r="H108" s="9">
        <v>1.2751999999999999E-7</v>
      </c>
      <c r="I108" s="9">
        <v>1.0363E-7</v>
      </c>
      <c r="J108" s="10">
        <f t="shared" si="9"/>
        <v>0.84010351317440402</v>
      </c>
      <c r="K108" s="11">
        <f t="shared" si="10"/>
        <v>84.010351317440396</v>
      </c>
      <c r="L108" s="11">
        <f t="shared" si="11"/>
        <v>87.083900755883349</v>
      </c>
      <c r="M108" s="9">
        <f>8.686*(2*PI()*(D108*Parameters!$B$13)/Parameters!$B$2)*ABS(F108)</f>
        <v>2.3127737507392522E-6</v>
      </c>
      <c r="N108" s="6">
        <f>1/SQRT(1+PI()*I108*((D108*Parameters!$B$13)/Parameters!$B$2)^2)</f>
        <v>0.40108514573651488</v>
      </c>
    </row>
    <row r="109" spans="1:14">
      <c r="A109" s="5" t="s">
        <v>39</v>
      </c>
      <c r="B109" s="5" t="s">
        <v>34</v>
      </c>
      <c r="C109" s="6">
        <v>1.36</v>
      </c>
      <c r="D109" s="7">
        <v>1.4</v>
      </c>
      <c r="E109" s="8">
        <v>1.3258000000000001</v>
      </c>
      <c r="F109" s="8">
        <v>-2.6528000000000001E-13</v>
      </c>
      <c r="G109" s="9">
        <v>1.3355E-7</v>
      </c>
      <c r="H109" s="9">
        <v>1.5703E-7</v>
      </c>
      <c r="I109" s="9">
        <v>1.0084E-7</v>
      </c>
      <c r="J109" s="10">
        <f t="shared" si="9"/>
        <v>0.85047443163726677</v>
      </c>
      <c r="K109" s="11">
        <f t="shared" si="10"/>
        <v>85.047443163726683</v>
      </c>
      <c r="L109" s="11">
        <f t="shared" si="11"/>
        <v>87.24130540252547</v>
      </c>
      <c r="M109" s="9">
        <f>8.686*(2*PI()*(D109*Parameters!$B$13)/Parameters!$B$2)*ABS(F109)</f>
        <v>6.7610093261748084E-8</v>
      </c>
      <c r="N109" s="6">
        <f>1/SQRT(1+PI()*I109*((D109*Parameters!$B$13)/Parameters!$B$2)^2)</f>
        <v>0.35558791656872996</v>
      </c>
    </row>
    <row r="110" spans="1:14">
      <c r="A110" s="5" t="s">
        <v>39</v>
      </c>
      <c r="B110" s="5" t="s">
        <v>34</v>
      </c>
      <c r="C110" s="6">
        <v>1.36</v>
      </c>
      <c r="D110" s="7">
        <v>1.6</v>
      </c>
      <c r="E110" s="8">
        <v>1.3354999999999999</v>
      </c>
      <c r="F110" s="8">
        <v>-1.2315000000000001E-14</v>
      </c>
      <c r="G110" s="9">
        <v>1.5849000000000001E-7</v>
      </c>
      <c r="H110" s="9">
        <v>1.8615999999999999E-7</v>
      </c>
      <c r="I110" s="9">
        <v>1.0096E-7</v>
      </c>
      <c r="J110" s="10">
        <f t="shared" si="9"/>
        <v>0.85136441770519988</v>
      </c>
      <c r="K110" s="11">
        <f t="shared" si="10"/>
        <v>85.136441770519994</v>
      </c>
      <c r="L110" s="11">
        <f t="shared" si="11"/>
        <v>86.698285891356946</v>
      </c>
      <c r="M110" s="9">
        <f>8.686*(2*PI()*(D110*Parameters!$B$13)/Parameters!$B$2)*ABS(F110)</f>
        <v>3.5870166229468716E-9</v>
      </c>
      <c r="N110" s="6">
        <f>1/SQRT(1+PI()*I110*((D110*Parameters!$B$13)/Parameters!$B$2)^2)</f>
        <v>0.31568575782354458</v>
      </c>
    </row>
    <row r="111" spans="1:14">
      <c r="A111" s="5" t="s">
        <v>39</v>
      </c>
      <c r="B111" s="5" t="s">
        <v>34</v>
      </c>
      <c r="C111" s="6">
        <v>1.36</v>
      </c>
      <c r="D111" s="7">
        <v>1.8</v>
      </c>
      <c r="E111" s="8">
        <v>1.3427</v>
      </c>
      <c r="F111" s="8">
        <v>-9.7733000000000005E-16</v>
      </c>
      <c r="G111" s="9">
        <v>1.7933000000000001E-7</v>
      </c>
      <c r="H111" s="9">
        <v>2.1232000000000001E-7</v>
      </c>
      <c r="I111" s="9">
        <v>1.0319E-7</v>
      </c>
      <c r="J111" s="10">
        <f t="shared" si="9"/>
        <v>0.84462132629992459</v>
      </c>
      <c r="K111" s="11">
        <f t="shared" si="10"/>
        <v>84.462132629992453</v>
      </c>
      <c r="L111" s="11">
        <f t="shared" si="11"/>
        <v>85.550383836143425</v>
      </c>
      <c r="M111" s="9">
        <f>8.686*(2*PI()*(D111*Parameters!$B$13)/Parameters!$B$2)*ABS(F111)</f>
        <v>3.2025264519835559E-10</v>
      </c>
      <c r="N111" s="6">
        <f>1/SQRT(1+PI()*I111*((D111*Parameters!$B$13)/Parameters!$B$2)^2)</f>
        <v>0.28075405409304416</v>
      </c>
    </row>
    <row r="112" spans="1:14">
      <c r="A112" s="5" t="s">
        <v>39</v>
      </c>
      <c r="B112" s="5" t="s">
        <v>34</v>
      </c>
      <c r="C112" s="6">
        <v>1.36</v>
      </c>
      <c r="D112" s="7">
        <v>2</v>
      </c>
      <c r="E112" s="8">
        <v>1.3484</v>
      </c>
      <c r="F112" s="8">
        <v>-2.3222999999999998E-16</v>
      </c>
      <c r="G112" s="9">
        <v>1.934E-7</v>
      </c>
      <c r="H112" s="9">
        <v>2.3295E-7</v>
      </c>
      <c r="I112" s="9">
        <v>1.0703E-7</v>
      </c>
      <c r="J112" s="10">
        <f t="shared" si="9"/>
        <v>0.83022107748443874</v>
      </c>
      <c r="K112" s="11">
        <f t="shared" si="10"/>
        <v>83.022107748443872</v>
      </c>
      <c r="L112" s="11">
        <f t="shared" si="11"/>
        <v>83.736329381402911</v>
      </c>
      <c r="M112" s="9">
        <f>8.686*(2*PI()*(D112*Parameters!$B$13)/Parameters!$B$2)*ABS(F112)</f>
        <v>8.4552666498878595E-11</v>
      </c>
      <c r="N112" s="6">
        <f>1/SQRT(1+PI()*I112*((D112*Parameters!$B$13)/Parameters!$B$2)^2)</f>
        <v>0.25027462632348102</v>
      </c>
    </row>
    <row r="113" spans="1:14">
      <c r="A113" s="5" t="s">
        <v>39</v>
      </c>
      <c r="B113" s="5" t="s">
        <v>34</v>
      </c>
      <c r="C113" s="6">
        <v>1.36</v>
      </c>
      <c r="D113" s="7">
        <v>2.2000000000000002</v>
      </c>
      <c r="E113" s="8">
        <v>1.3532999999999999</v>
      </c>
      <c r="F113" s="8">
        <v>2.709E-17</v>
      </c>
      <c r="G113" s="9">
        <v>1.9856E-7</v>
      </c>
      <c r="H113" s="9">
        <v>2.4606999999999998E-7</v>
      </c>
      <c r="I113" s="9">
        <v>1.1176E-7</v>
      </c>
      <c r="J113" s="10">
        <f t="shared" si="9"/>
        <v>0.80692485878002196</v>
      </c>
      <c r="K113" s="11">
        <f t="shared" si="10"/>
        <v>80.692485878002202</v>
      </c>
      <c r="L113" s="11">
        <f t="shared" si="11"/>
        <v>81.091983147922107</v>
      </c>
      <c r="M113" s="9">
        <f>8.686*(2*PI()*(D113*Parameters!$B$13)/Parameters!$B$2)*ABS(F113)</f>
        <v>1.0849523786763481E-11</v>
      </c>
      <c r="N113" s="6">
        <f>1/SQRT(1+PI()*I113*((D113*Parameters!$B$13)/Parameters!$B$2)^2)</f>
        <v>0.22412419106265274</v>
      </c>
    </row>
    <row r="114" spans="1:14">
      <c r="A114" s="5" t="s">
        <v>39</v>
      </c>
      <c r="B114" s="5" t="s">
        <v>34</v>
      </c>
      <c r="C114" s="6">
        <v>1.36</v>
      </c>
      <c r="D114" s="7">
        <v>2.4</v>
      </c>
      <c r="E114" s="8">
        <v>1.3575999999999999</v>
      </c>
      <c r="F114" s="8">
        <v>2.4213E-16</v>
      </c>
      <c r="G114" s="9">
        <v>1.9411000000000001E-7</v>
      </c>
      <c r="H114" s="9">
        <v>2.5108E-7</v>
      </c>
      <c r="I114" s="9">
        <v>1.1562E-7</v>
      </c>
      <c r="J114" s="10">
        <f t="shared" si="9"/>
        <v>0.77310020710530514</v>
      </c>
      <c r="K114" s="11">
        <f t="shared" si="10"/>
        <v>77.310020710530509</v>
      </c>
      <c r="L114" s="11">
        <f t="shared" si="11"/>
        <v>77.446691342311084</v>
      </c>
      <c r="M114" s="9">
        <f>8.686*(2*PI()*(D114*Parameters!$B$13)/Parameters!$B$2)*ABS(F114)</f>
        <v>1.0578859134155006E-10</v>
      </c>
      <c r="N114" s="6">
        <f>1/SQRT(1+PI()*I114*((D114*Parameters!$B$13)/Parameters!$B$2)^2)</f>
        <v>0.20294800971807206</v>
      </c>
    </row>
    <row r="115" spans="1:14">
      <c r="A115" s="5" t="s">
        <v>39</v>
      </c>
      <c r="B115" s="5" t="s">
        <v>34</v>
      </c>
      <c r="C115" s="6">
        <v>1.36</v>
      </c>
      <c r="D115" s="7">
        <v>2.6</v>
      </c>
      <c r="E115" s="8">
        <v>1.3619000000000001</v>
      </c>
      <c r="F115" s="8">
        <v>1.0986E-16</v>
      </c>
      <c r="G115" s="9">
        <v>1.814E-7</v>
      </c>
      <c r="H115" s="9">
        <v>2.4943999999999999E-7</v>
      </c>
      <c r="I115" s="9">
        <v>1.1534E-7</v>
      </c>
      <c r="J115" s="10">
        <f t="shared" si="9"/>
        <v>0.72722899294419496</v>
      </c>
      <c r="K115" s="11">
        <f t="shared" si="10"/>
        <v>72.722899294419491</v>
      </c>
      <c r="L115" s="11">
        <f t="shared" si="11"/>
        <v>72.621442866884877</v>
      </c>
      <c r="M115" s="9">
        <f>8.686*(2*PI()*(D115*Parameters!$B$13)/Parameters!$B$2)*ABS(F115)</f>
        <v>5.1998633785629955E-11</v>
      </c>
      <c r="N115" s="6">
        <f>1/SQRT(1+PI()*I115*((D115*Parameters!$B$13)/Parameters!$B$2)^2)</f>
        <v>0.18812984012451525</v>
      </c>
    </row>
    <row r="116" spans="1:14">
      <c r="A116" s="5" t="s">
        <v>39</v>
      </c>
      <c r="B116" s="5" t="s">
        <v>34</v>
      </c>
      <c r="C116" s="6">
        <v>1.36</v>
      </c>
      <c r="D116" s="7">
        <v>2.8</v>
      </c>
      <c r="E116" s="8">
        <v>1.3663000000000001</v>
      </c>
      <c r="F116" s="8">
        <v>-1.8424000000000001E-16</v>
      </c>
      <c r="G116" s="9">
        <v>1.6369000000000001E-7</v>
      </c>
      <c r="H116" s="9">
        <v>2.4439999999999999E-7</v>
      </c>
      <c r="I116" s="9">
        <v>1.0789E-7</v>
      </c>
      <c r="J116" s="10">
        <f t="shared" si="9"/>
        <v>0.66976268412438633</v>
      </c>
      <c r="K116" s="11">
        <f t="shared" si="10"/>
        <v>66.976268412438628</v>
      </c>
      <c r="L116" s="11">
        <f t="shared" si="11"/>
        <v>66.667441294676536</v>
      </c>
      <c r="M116" s="9">
        <f>8.686*(2*PI()*(D116*Parameters!$B$13)/Parameters!$B$2)*ABS(F116)</f>
        <v>9.3911969108447431E-11</v>
      </c>
      <c r="N116" s="6">
        <f>1/SQRT(1+PI()*I116*((D116*Parameters!$B$13)/Parameters!$B$2)^2)</f>
        <v>0.18087324727897727</v>
      </c>
    </row>
    <row r="117" spans="1:14">
      <c r="A117" s="5" t="s">
        <v>39</v>
      </c>
      <c r="B117" s="5" t="s">
        <v>34</v>
      </c>
      <c r="C117" s="6">
        <v>1.36</v>
      </c>
      <c r="D117" s="7">
        <v>3</v>
      </c>
      <c r="E117" s="8">
        <v>1.3709</v>
      </c>
      <c r="F117" s="8">
        <v>-4.6493000000000004E-16</v>
      </c>
      <c r="G117" s="9">
        <v>1.4482E-7</v>
      </c>
      <c r="H117" s="9">
        <v>2.3935999999999999E-7</v>
      </c>
      <c r="I117" s="9">
        <v>9.4544000000000003E-8</v>
      </c>
      <c r="J117" s="10">
        <f t="shared" si="9"/>
        <v>0.6050300802139037</v>
      </c>
      <c r="K117" s="11">
        <f t="shared" si="10"/>
        <v>60.503008021390372</v>
      </c>
      <c r="L117" s="11">
        <f t="shared" si="11"/>
        <v>60.021949747677375</v>
      </c>
      <c r="M117" s="9">
        <f>8.686*(2*PI()*(D117*Parameters!$B$13)/Parameters!$B$2)*ABS(F117)</f>
        <v>2.539146830856713E-10</v>
      </c>
      <c r="N117" s="6">
        <f>1/SQRT(1+PI()*I117*((D117*Parameters!$B$13)/Parameters!$B$2)^2)</f>
        <v>0.18035442053184234</v>
      </c>
    </row>
    <row r="118" spans="1:14">
      <c r="A118" s="5" t="s">
        <v>39</v>
      </c>
      <c r="B118" s="5" t="s">
        <v>34</v>
      </c>
      <c r="C118" s="6">
        <v>1.36</v>
      </c>
      <c r="D118" s="7">
        <v>3.2</v>
      </c>
      <c r="E118" s="8">
        <v>1.3708</v>
      </c>
      <c r="F118" s="8">
        <v>-1.7378000000000001E-16</v>
      </c>
      <c r="G118" s="9">
        <v>6.5312999999999997E-8</v>
      </c>
      <c r="H118" s="9">
        <v>1.2791000000000001E-7</v>
      </c>
      <c r="I118" s="9">
        <v>8.1219999999999995E-8</v>
      </c>
      <c r="J118" s="10">
        <f t="shared" si="9"/>
        <v>0.5106168399656007</v>
      </c>
      <c r="K118" s="11">
        <f t="shared" si="10"/>
        <v>51.06168399656007</v>
      </c>
      <c r="L118" s="11">
        <f t="shared" si="11"/>
        <v>50.65938884981157</v>
      </c>
      <c r="M118" s="9">
        <f>8.686*(2*PI()*(D118*Parameters!$B$13)/Parameters!$B$2)*ABS(F118)</f>
        <v>1.0123455115480429E-10</v>
      </c>
      <c r="N118" s="6">
        <f>1/SQRT(1+PI()*I118*((D118*Parameters!$B$13)/Parameters!$B$2)^2)</f>
        <v>0.18235620102775876</v>
      </c>
    </row>
    <row r="119" spans="1:14">
      <c r="A119" s="5" t="s">
        <v>39</v>
      </c>
      <c r="B119" s="5" t="s">
        <v>35</v>
      </c>
      <c r="C119" s="6">
        <v>1.38</v>
      </c>
      <c r="D119" s="7">
        <v>0.8</v>
      </c>
      <c r="E119" s="8">
        <v>1.2730999999999999</v>
      </c>
      <c r="F119" s="8">
        <v>-5.8705000000000002E-8</v>
      </c>
      <c r="G119" s="9">
        <v>5.8518000000000002E-8</v>
      </c>
      <c r="H119" s="9">
        <v>7.5170000000000004E-8</v>
      </c>
      <c r="I119" s="9">
        <v>1.2494999999999999E-7</v>
      </c>
      <c r="J119" s="10">
        <f t="shared" si="9"/>
        <v>0.77847545563389653</v>
      </c>
      <c r="K119" s="11">
        <f t="shared" si="10"/>
        <v>77.847545563389659</v>
      </c>
      <c r="L119" s="11">
        <f t="shared" si="11"/>
        <v>84.384269010665093</v>
      </c>
      <c r="M119" s="9">
        <f>8.686*(2*PI()*(D119*Parameters!$B$13)/Parameters!$B$2)*ABS(F119)</f>
        <v>8.5495660109661427E-3</v>
      </c>
      <c r="N119" s="6">
        <f>1/SQRT(1+PI()*I119*((D119*Parameters!$B$13)/Parameters!$B$2)^2)</f>
        <v>0.5133083344963919</v>
      </c>
    </row>
    <row r="120" spans="1:14">
      <c r="A120" s="5" t="s">
        <v>39</v>
      </c>
      <c r="B120" s="5" t="s">
        <v>35</v>
      </c>
      <c r="C120" s="6">
        <v>1.38</v>
      </c>
      <c r="D120" s="7">
        <v>1</v>
      </c>
      <c r="E120" s="8">
        <v>1.3079000000000001</v>
      </c>
      <c r="F120" s="8">
        <v>-3.5999000000000002E-10</v>
      </c>
      <c r="G120" s="9">
        <v>8.2561999999999995E-8</v>
      </c>
      <c r="H120" s="9">
        <v>9.9467E-8</v>
      </c>
      <c r="I120" s="9">
        <v>1.0656E-7</v>
      </c>
      <c r="J120" s="10">
        <f t="shared" si="9"/>
        <v>0.83004413524083365</v>
      </c>
      <c r="K120" s="11">
        <f t="shared" si="10"/>
        <v>83.004413524083361</v>
      </c>
      <c r="L120" s="11">
        <f t="shared" si="11"/>
        <v>87.58015954066444</v>
      </c>
      <c r="M120" s="9">
        <f>8.686*(2*PI()*(D120*Parameters!$B$13)/Parameters!$B$2)*ABS(F120)</f>
        <v>6.5534415047434246E-5</v>
      </c>
      <c r="N120" s="6">
        <f>1/SQRT(1+PI()*I120*((D120*Parameters!$B$13)/Parameters!$B$2)^2)</f>
        <v>0.46005355981460033</v>
      </c>
    </row>
    <row r="121" spans="1:14">
      <c r="A121" s="5" t="s">
        <v>39</v>
      </c>
      <c r="B121" s="5" t="s">
        <v>35</v>
      </c>
      <c r="C121" s="6">
        <v>1.38</v>
      </c>
      <c r="D121" s="7">
        <v>1.2</v>
      </c>
      <c r="E121" s="8">
        <v>1.3291999999999999</v>
      </c>
      <c r="F121" s="8">
        <v>-3.8477999999999998E-12</v>
      </c>
      <c r="G121" s="9">
        <v>1.1003E-7</v>
      </c>
      <c r="H121" s="9">
        <v>1.2867E-7</v>
      </c>
      <c r="I121" s="9">
        <v>9.8818000000000005E-8</v>
      </c>
      <c r="J121" s="10">
        <f t="shared" si="9"/>
        <v>0.85513328670241706</v>
      </c>
      <c r="K121" s="11">
        <f t="shared" si="10"/>
        <v>85.513328670241705</v>
      </c>
      <c r="L121" s="11">
        <f t="shared" si="11"/>
        <v>88.781517879125445</v>
      </c>
      <c r="M121" s="9">
        <f>8.686*(2*PI()*(D121*Parameters!$B$13)/Parameters!$B$2)*ABS(F121)</f>
        <v>8.405677565027388E-7</v>
      </c>
      <c r="N121" s="6">
        <f>1/SQRT(1+PI()*I121*((D121*Parameters!$B$13)/Parameters!$B$2)^2)</f>
        <v>0.40913522812368341</v>
      </c>
    </row>
    <row r="122" spans="1:14">
      <c r="A122" s="5" t="s">
        <v>39</v>
      </c>
      <c r="B122" s="5" t="s">
        <v>35</v>
      </c>
      <c r="C122" s="6">
        <v>1.38</v>
      </c>
      <c r="D122" s="7">
        <v>1.4</v>
      </c>
      <c r="E122" s="8">
        <v>1.3431</v>
      </c>
      <c r="F122" s="8">
        <v>-7.7029000000000004E-14</v>
      </c>
      <c r="G122" s="9">
        <v>1.3934999999999999E-7</v>
      </c>
      <c r="H122" s="9">
        <v>1.6072E-7</v>
      </c>
      <c r="I122" s="9">
        <v>9.5636999999999998E-8</v>
      </c>
      <c r="J122" s="10">
        <f t="shared" si="9"/>
        <v>0.86703583872573409</v>
      </c>
      <c r="K122" s="11">
        <f t="shared" si="10"/>
        <v>86.703583872573404</v>
      </c>
      <c r="L122" s="11">
        <f t="shared" si="11"/>
        <v>89.085656871529523</v>
      </c>
      <c r="M122" s="9">
        <f>8.686*(2*PI()*(D122*Parameters!$B$13)/Parameters!$B$2)*ABS(F122)</f>
        <v>1.9631852660808177E-8</v>
      </c>
      <c r="N122" s="6">
        <f>1/SQRT(1+PI()*I122*((D122*Parameters!$B$13)/Parameters!$B$2)^2)</f>
        <v>0.36388303727001842</v>
      </c>
    </row>
    <row r="123" spans="1:14">
      <c r="A123" s="5" t="s">
        <v>39</v>
      </c>
      <c r="B123" s="5" t="s">
        <v>35</v>
      </c>
      <c r="C123" s="6">
        <v>1.38</v>
      </c>
      <c r="D123" s="7">
        <v>1.6</v>
      </c>
      <c r="E123" s="8">
        <v>1.3528</v>
      </c>
      <c r="F123" s="8">
        <v>-2.8155000000000001E-15</v>
      </c>
      <c r="G123" s="9">
        <v>1.6857000000000001E-7</v>
      </c>
      <c r="H123" s="9">
        <v>1.9360000000000001E-7</v>
      </c>
      <c r="I123" s="9">
        <v>9.5036000000000005E-8</v>
      </c>
      <c r="J123" s="10">
        <f t="shared" si="9"/>
        <v>0.87071280991735533</v>
      </c>
      <c r="K123" s="11">
        <f t="shared" si="10"/>
        <v>87.071280991735534</v>
      </c>
      <c r="L123" s="11">
        <f t="shared" si="11"/>
        <v>88.821974991569348</v>
      </c>
      <c r="M123" s="9">
        <f>8.686*(2*PI()*(D123*Parameters!$B$13)/Parameters!$B$2)*ABS(F123)</f>
        <v>8.2007676020356612E-10</v>
      </c>
      <c r="N123" s="6">
        <f>1/SQRT(1+PI()*I123*((D123*Parameters!$B$13)/Parameters!$B$2)^2)</f>
        <v>0.32437010595786142</v>
      </c>
    </row>
    <row r="124" spans="1:14">
      <c r="A124" s="5" t="s">
        <v>39</v>
      </c>
      <c r="B124" s="5" t="s">
        <v>35</v>
      </c>
      <c r="C124" s="6">
        <v>1.38</v>
      </c>
      <c r="D124" s="7">
        <v>1.8</v>
      </c>
      <c r="E124" s="8">
        <v>1.3599000000000001</v>
      </c>
      <c r="F124" s="8">
        <v>-1.7755E-16</v>
      </c>
      <c r="G124" s="9">
        <v>1.9537999999999999E-7</v>
      </c>
      <c r="H124" s="9">
        <v>2.2503E-7</v>
      </c>
      <c r="I124" s="9">
        <v>9.6261000000000004E-8</v>
      </c>
      <c r="J124" s="10">
        <f t="shared" si="9"/>
        <v>0.86823979025018883</v>
      </c>
      <c r="K124" s="11">
        <f t="shared" si="10"/>
        <v>86.823979025018886</v>
      </c>
      <c r="L124" s="11">
        <f t="shared" si="11"/>
        <v>88.107280722498743</v>
      </c>
      <c r="M124" s="9">
        <f>8.686*(2*PI()*(D124*Parameters!$B$13)/Parameters!$B$2)*ABS(F124)</f>
        <v>5.8179793063722618E-11</v>
      </c>
      <c r="N124" s="6">
        <f>1/SQRT(1+PI()*I124*((D124*Parameters!$B$13)/Parameters!$B$2)^2)</f>
        <v>0.28986187349914638</v>
      </c>
    </row>
    <row r="125" spans="1:14">
      <c r="A125" s="5" t="s">
        <v>39</v>
      </c>
      <c r="B125" s="5" t="s">
        <v>35</v>
      </c>
      <c r="C125" s="6">
        <v>1.38</v>
      </c>
      <c r="D125" s="7">
        <v>2</v>
      </c>
      <c r="E125" s="8">
        <v>1.3653999999999999</v>
      </c>
      <c r="F125" s="8">
        <v>-8.0335000000000003E-17</v>
      </c>
      <c r="G125" s="9">
        <v>2.1715000000000001E-7</v>
      </c>
      <c r="H125" s="9">
        <v>2.5248E-7</v>
      </c>
      <c r="I125" s="9">
        <v>9.9002000000000002E-8</v>
      </c>
      <c r="J125" s="10">
        <f t="shared" si="9"/>
        <v>0.86006812420785805</v>
      </c>
      <c r="K125" s="11">
        <f t="shared" si="10"/>
        <v>86.006812420785806</v>
      </c>
      <c r="L125" s="11">
        <f t="shared" si="11"/>
        <v>86.926469269579925</v>
      </c>
      <c r="M125" s="9">
        <f>8.686*(2*PI()*(D125*Parameters!$B$13)/Parameters!$B$2)*ABS(F125)</f>
        <v>2.9249185993142199E-11</v>
      </c>
      <c r="N125" s="6">
        <f>1/SQRT(1+PI()*I125*((D125*Parameters!$B$13)/Parameters!$B$2)^2)</f>
        <v>0.25956579001423991</v>
      </c>
    </row>
    <row r="126" spans="1:14">
      <c r="A126" s="5" t="s">
        <v>39</v>
      </c>
      <c r="B126" s="5" t="s">
        <v>35</v>
      </c>
      <c r="C126" s="6">
        <v>1.38</v>
      </c>
      <c r="D126" s="7">
        <v>2.2000000000000002</v>
      </c>
      <c r="E126" s="8">
        <v>1.3697999999999999</v>
      </c>
      <c r="F126" s="8">
        <v>1.3683E-15</v>
      </c>
      <c r="G126" s="9">
        <v>2.3129E-7</v>
      </c>
      <c r="H126" s="9">
        <v>2.7346000000000001E-7</v>
      </c>
      <c r="I126" s="9">
        <v>1.0304E-7</v>
      </c>
      <c r="J126" s="10">
        <f t="shared" si="9"/>
        <v>0.84579097491406419</v>
      </c>
      <c r="K126" s="11">
        <f t="shared" si="10"/>
        <v>84.579097491406415</v>
      </c>
      <c r="L126" s="11">
        <f t="shared" si="11"/>
        <v>85.208902422354242</v>
      </c>
      <c r="M126" s="9">
        <f>8.686*(2*PI()*(D126*Parameters!$B$13)/Parameters!$B$2)*ABS(F126)</f>
        <v>5.4800307853187419E-10</v>
      </c>
      <c r="N126" s="6">
        <f>1/SQRT(1+PI()*I126*((D126*Parameters!$B$13)/Parameters!$B$2)^2)</f>
        <v>0.23292058731792439</v>
      </c>
    </row>
    <row r="127" spans="1:14">
      <c r="A127" s="5" t="s">
        <v>39</v>
      </c>
      <c r="B127" s="5" t="s">
        <v>35</v>
      </c>
      <c r="C127" s="6">
        <v>1.38</v>
      </c>
      <c r="D127" s="7">
        <v>2.4</v>
      </c>
      <c r="E127" s="8">
        <v>1.3735999999999999</v>
      </c>
      <c r="F127" s="8">
        <v>-6.3002000000000003E-16</v>
      </c>
      <c r="G127" s="9">
        <v>2.3579E-7</v>
      </c>
      <c r="H127" s="9">
        <v>2.8607000000000002E-7</v>
      </c>
      <c r="I127" s="9">
        <v>1.0791E-7</v>
      </c>
      <c r="J127" s="10">
        <f t="shared" si="9"/>
        <v>0.82423882266578108</v>
      </c>
      <c r="K127" s="11">
        <f t="shared" si="10"/>
        <v>82.423882266578104</v>
      </c>
      <c r="L127" s="11">
        <f t="shared" si="11"/>
        <v>82.807918992339665</v>
      </c>
      <c r="M127" s="9">
        <f>8.686*(2*PI()*(D127*Parameters!$B$13)/Parameters!$B$2)*ABS(F127)</f>
        <v>2.7526092725809841E-10</v>
      </c>
      <c r="N127" s="6">
        <f>1/SQRT(1+PI()*I127*((D127*Parameters!$B$13)/Parameters!$B$2)^2)</f>
        <v>0.20976467239470353</v>
      </c>
    </row>
    <row r="128" spans="1:14">
      <c r="A128" s="5" t="s">
        <v>39</v>
      </c>
      <c r="B128" s="5" t="s">
        <v>35</v>
      </c>
      <c r="C128" s="6">
        <v>1.38</v>
      </c>
      <c r="D128" s="7">
        <v>2.6</v>
      </c>
      <c r="E128" s="8">
        <v>1.3771</v>
      </c>
      <c r="F128" s="8">
        <v>9.3752999999999997E-17</v>
      </c>
      <c r="G128" s="9">
        <v>2.2999999999999999E-7</v>
      </c>
      <c r="H128" s="9">
        <v>2.8976999999999998E-7</v>
      </c>
      <c r="I128" s="9">
        <v>1.1235E-7</v>
      </c>
      <c r="J128" s="10">
        <f t="shared" si="9"/>
        <v>0.79373296062394316</v>
      </c>
      <c r="K128" s="11">
        <f t="shared" si="10"/>
        <v>79.373296062394317</v>
      </c>
      <c r="L128" s="11">
        <f t="shared" si="11"/>
        <v>79.540446275582127</v>
      </c>
      <c r="M128" s="9">
        <f>8.686*(2*PI()*(D128*Parameters!$B$13)/Parameters!$B$2)*ABS(F128)</f>
        <v>4.4374912737157884E-11</v>
      </c>
      <c r="N128" s="6">
        <f>1/SQRT(1+PI()*I128*((D128*Parameters!$B$13)/Parameters!$B$2)^2)</f>
        <v>0.19052706737461642</v>
      </c>
    </row>
    <row r="129" spans="1:14">
      <c r="A129" s="5" t="s">
        <v>39</v>
      </c>
      <c r="B129" s="5" t="s">
        <v>35</v>
      </c>
      <c r="C129" s="6">
        <v>1.38</v>
      </c>
      <c r="D129" s="7">
        <v>2.8</v>
      </c>
      <c r="E129" s="8">
        <v>1.3804000000000001</v>
      </c>
      <c r="F129" s="8">
        <v>3.8778000000000001E-16</v>
      </c>
      <c r="G129" s="9">
        <v>2.1523E-7</v>
      </c>
      <c r="H129" s="9">
        <v>2.8597000000000001E-7</v>
      </c>
      <c r="I129" s="9">
        <v>1.1378E-7</v>
      </c>
      <c r="J129" s="10">
        <f t="shared" si="9"/>
        <v>0.75263139490156306</v>
      </c>
      <c r="K129" s="11">
        <f t="shared" si="10"/>
        <v>75.263139490156306</v>
      </c>
      <c r="L129" s="11">
        <f t="shared" si="11"/>
        <v>75.241330408878355</v>
      </c>
      <c r="M129" s="9">
        <f>8.686*(2*PI()*(D129*Parameters!$B$13)/Parameters!$B$2)*ABS(F129)</f>
        <v>1.9766165534560218E-10</v>
      </c>
      <c r="N129" s="6">
        <f>1/SQRT(1+PI()*I129*((D129*Parameters!$B$13)/Parameters!$B$2)^2)</f>
        <v>0.17627877709391682</v>
      </c>
    </row>
    <row r="130" spans="1:14">
      <c r="A130" s="5" t="s">
        <v>39</v>
      </c>
      <c r="B130" s="5" t="s">
        <v>35</v>
      </c>
      <c r="C130" s="6">
        <v>1.38</v>
      </c>
      <c r="D130" s="7">
        <v>3</v>
      </c>
      <c r="E130" s="8">
        <v>1.3838999999999999</v>
      </c>
      <c r="F130" s="8">
        <v>-1.4776999999999999E-15</v>
      </c>
      <c r="G130" s="9">
        <v>1.9467999999999999E-7</v>
      </c>
      <c r="H130" s="9">
        <v>2.7786999999999999E-7</v>
      </c>
      <c r="I130" s="9">
        <v>1.0914999999999999E-7</v>
      </c>
      <c r="J130" s="10">
        <f t="shared" si="9"/>
        <v>0.7006153956886314</v>
      </c>
      <c r="K130" s="11">
        <f t="shared" ref="K130:K161" si="12">J130*100</f>
        <v>70.061539568863139</v>
      </c>
      <c r="L130" s="11">
        <f t="shared" si="11"/>
        <v>69.864097554036519</v>
      </c>
      <c r="M130" s="9">
        <f>8.686*(2*PI()*(D130*Parameters!$B$13)/Parameters!$B$2)*ABS(F130)</f>
        <v>8.070241266334641E-10</v>
      </c>
      <c r="N130" s="6">
        <f>1/SQRT(1+PI()*I130*((D130*Parameters!$B$13)/Parameters!$B$2)^2)</f>
        <v>0.16822059037853021</v>
      </c>
    </row>
    <row r="131" spans="1:14">
      <c r="A131" s="5" t="s">
        <v>39</v>
      </c>
      <c r="B131" s="5" t="s">
        <v>35</v>
      </c>
      <c r="C131" s="6">
        <v>1.38</v>
      </c>
      <c r="D131" s="7">
        <v>3.2</v>
      </c>
      <c r="E131" s="8">
        <v>1.3875999999999999</v>
      </c>
      <c r="F131" s="8">
        <v>-3.7469000000000003E-17</v>
      </c>
      <c r="G131" s="9">
        <v>1.7239E-7</v>
      </c>
      <c r="H131" s="9">
        <v>2.6926000000000002E-7</v>
      </c>
      <c r="I131" s="9">
        <v>9.8121999999999997E-8</v>
      </c>
      <c r="J131" s="10">
        <f t="shared" si="9"/>
        <v>0.64023620292653938</v>
      </c>
      <c r="K131" s="11">
        <f t="shared" si="12"/>
        <v>64.023620292653931</v>
      </c>
      <c r="L131" s="11">
        <f t="shared" si="11"/>
        <v>63.67295762745924</v>
      </c>
      <c r="M131" s="9">
        <f>8.686*(2*PI()*(D131*Parameters!$B$13)/Parameters!$B$2)*ABS(F131)</f>
        <v>2.1827352959024986E-11</v>
      </c>
      <c r="N131" s="6">
        <f>1/SQRT(1+PI()*I131*((D131*Parameters!$B$13)/Parameters!$B$2)^2)</f>
        <v>0.16638579889096181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tabSelected="1" workbookViewId="0">
      <selection activeCell="I12" sqref="I12"/>
    </sheetView>
  </sheetViews>
  <sheetFormatPr defaultColWidth="17.3984375" defaultRowHeight="13.8"/>
  <cols>
    <col min="1" max="16384" width="17.3984375" style="5"/>
  </cols>
  <sheetData>
    <row r="1" spans="1:8" ht="27.6">
      <c r="A1" s="12" t="s">
        <v>19</v>
      </c>
      <c r="B1" s="12" t="s">
        <v>22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</row>
    <row r="2" spans="1:8">
      <c r="A2" s="5" t="s">
        <v>33</v>
      </c>
      <c r="B2" s="7">
        <v>0.8</v>
      </c>
      <c r="C2" s="10">
        <f>Master_Data!E2</f>
        <v>1.2699</v>
      </c>
      <c r="D2" s="10">
        <f>Master_Data!E15</f>
        <v>1.2809999999999999</v>
      </c>
      <c r="E2" s="10">
        <f t="shared" ref="E2:E33" si="0">ABS(D2-C2)</f>
        <v>1.1099999999999888E-2</v>
      </c>
      <c r="F2" s="11">
        <f>Master_Data!L2</f>
        <v>84.017860090053446</v>
      </c>
      <c r="G2" s="11">
        <f>Master_Data!L15</f>
        <v>85.281722957601716</v>
      </c>
      <c r="H2" s="11">
        <f t="shared" ref="H2:H33" si="1">ABS(G2-F2)</f>
        <v>1.2638628675482693</v>
      </c>
    </row>
    <row r="3" spans="1:8">
      <c r="A3" s="5" t="s">
        <v>33</v>
      </c>
      <c r="B3" s="7">
        <v>1</v>
      </c>
      <c r="C3" s="10">
        <f>Master_Data!E3</f>
        <v>1.3045</v>
      </c>
      <c r="D3" s="10">
        <f>Master_Data!E16</f>
        <v>1.3164</v>
      </c>
      <c r="E3" s="10">
        <f t="shared" si="0"/>
        <v>1.1900000000000022E-2</v>
      </c>
      <c r="F3" s="11">
        <f>Master_Data!L3</f>
        <v>87.255874141975752</v>
      </c>
      <c r="G3" s="11">
        <f>Master_Data!L16</f>
        <v>88.368252710122192</v>
      </c>
      <c r="H3" s="11">
        <f t="shared" si="1"/>
        <v>1.1123785681464398</v>
      </c>
    </row>
    <row r="4" spans="1:8">
      <c r="A4" s="5" t="s">
        <v>33</v>
      </c>
      <c r="B4" s="7">
        <v>1.2</v>
      </c>
      <c r="C4" s="10">
        <f>Master_Data!E4</f>
        <v>1.3257000000000001</v>
      </c>
      <c r="D4" s="10">
        <f>Master_Data!E17</f>
        <v>1.3379000000000001</v>
      </c>
      <c r="E4" s="10">
        <f t="shared" si="0"/>
        <v>1.2199999999999989E-2</v>
      </c>
      <c r="F4" s="11">
        <f>Master_Data!L4</f>
        <v>88.460709033400462</v>
      </c>
      <c r="G4" s="11">
        <f>Master_Data!L17</f>
        <v>89.567256264169288</v>
      </c>
      <c r="H4" s="11">
        <f t="shared" si="1"/>
        <v>1.1065472307688253</v>
      </c>
    </row>
    <row r="5" spans="1:8">
      <c r="A5" s="5" t="s">
        <v>33</v>
      </c>
      <c r="B5" s="7">
        <v>1.4</v>
      </c>
      <c r="C5" s="10">
        <f>Master_Data!E5</f>
        <v>1.3395999999999999</v>
      </c>
      <c r="D5" s="10">
        <f>Master_Data!E18</f>
        <v>1.3519000000000001</v>
      </c>
      <c r="E5" s="10">
        <f t="shared" si="0"/>
        <v>1.23000000000002E-2</v>
      </c>
      <c r="F5" s="11">
        <f>Master_Data!L5</f>
        <v>88.731349752935401</v>
      </c>
      <c r="G5" s="11">
        <f>Master_Data!L18</f>
        <v>89.912251465590245</v>
      </c>
      <c r="H5" s="11">
        <f t="shared" si="1"/>
        <v>1.180901712654844</v>
      </c>
    </row>
    <row r="6" spans="1:8">
      <c r="A6" s="5" t="s">
        <v>33</v>
      </c>
      <c r="B6" s="7">
        <v>1.6</v>
      </c>
      <c r="C6" s="10">
        <f>Master_Data!E6</f>
        <v>1.3492999999999999</v>
      </c>
      <c r="D6" s="10">
        <f>Master_Data!E19</f>
        <v>1.3615999999999999</v>
      </c>
      <c r="E6" s="10">
        <f t="shared" si="0"/>
        <v>1.2299999999999978E-2</v>
      </c>
      <c r="F6" s="11">
        <f>Master_Data!L6</f>
        <v>88.425163022331247</v>
      </c>
      <c r="G6" s="11">
        <f>Master_Data!L19</f>
        <v>89.758753983993969</v>
      </c>
      <c r="H6" s="11">
        <f t="shared" si="1"/>
        <v>1.333590961662722</v>
      </c>
    </row>
    <row r="7" spans="1:8">
      <c r="A7" s="5" t="s">
        <v>33</v>
      </c>
      <c r="B7" s="7">
        <v>1.8</v>
      </c>
      <c r="C7" s="10">
        <f>Master_Data!E7</f>
        <v>1.3564000000000001</v>
      </c>
      <c r="D7" s="10">
        <f>Master_Data!E20</f>
        <v>1.3687</v>
      </c>
      <c r="E7" s="10">
        <f t="shared" si="0"/>
        <v>1.2299999999999978E-2</v>
      </c>
      <c r="F7" s="11">
        <f>Master_Data!L7</f>
        <v>87.632320117562685</v>
      </c>
      <c r="G7" s="11">
        <f>Master_Data!L20</f>
        <v>89.212613485352179</v>
      </c>
      <c r="H7" s="11">
        <f t="shared" si="1"/>
        <v>1.5802933677894941</v>
      </c>
    </row>
    <row r="8" spans="1:8">
      <c r="A8" s="5" t="s">
        <v>33</v>
      </c>
      <c r="B8" s="7">
        <v>2</v>
      </c>
      <c r="C8" s="10">
        <f>Master_Data!E8</f>
        <v>1.3619000000000001</v>
      </c>
      <c r="D8" s="10">
        <f>Master_Data!E21</f>
        <v>1.3741000000000001</v>
      </c>
      <c r="E8" s="10">
        <f t="shared" si="0"/>
        <v>1.2199999999999989E-2</v>
      </c>
      <c r="F8" s="11">
        <f>Master_Data!L8</f>
        <v>86.341489719578931</v>
      </c>
      <c r="G8" s="11">
        <f>Master_Data!L21</f>
        <v>88.292385656117062</v>
      </c>
      <c r="H8" s="11">
        <f t="shared" si="1"/>
        <v>1.9508959365381315</v>
      </c>
    </row>
    <row r="9" spans="1:8">
      <c r="A9" s="5" t="s">
        <v>33</v>
      </c>
      <c r="B9" s="7">
        <v>2.2000000000000002</v>
      </c>
      <c r="C9" s="10">
        <f>Master_Data!E9</f>
        <v>1.3664000000000001</v>
      </c>
      <c r="D9" s="10">
        <f>Master_Data!E22</f>
        <v>1.3783000000000001</v>
      </c>
      <c r="E9" s="10">
        <f t="shared" si="0"/>
        <v>1.1900000000000022E-2</v>
      </c>
      <c r="F9" s="11">
        <f>Master_Data!L9</f>
        <v>84.460346437697538</v>
      </c>
      <c r="G9" s="11">
        <f>Master_Data!L22</f>
        <v>86.94266755134575</v>
      </c>
      <c r="H9" s="11">
        <f t="shared" si="1"/>
        <v>2.4823211136482115</v>
      </c>
    </row>
    <row r="10" spans="1:8">
      <c r="A10" s="5" t="s">
        <v>33</v>
      </c>
      <c r="B10" s="7">
        <v>2.4</v>
      </c>
      <c r="C10" s="10">
        <f>Master_Data!E10</f>
        <v>1.3703000000000001</v>
      </c>
      <c r="D10" s="10">
        <f>Master_Data!E23</f>
        <v>1.3818999999999999</v>
      </c>
      <c r="E10" s="10">
        <f t="shared" si="0"/>
        <v>1.1599999999999833E-2</v>
      </c>
      <c r="F10" s="11">
        <f>Master_Data!L10</f>
        <v>81.832832191682854</v>
      </c>
      <c r="G10" s="11">
        <f>Master_Data!L23</f>
        <v>85.048050153615989</v>
      </c>
      <c r="H10" s="11">
        <f t="shared" si="1"/>
        <v>3.2152179619331349</v>
      </c>
    </row>
    <row r="11" spans="1:8">
      <c r="A11" s="5" t="s">
        <v>33</v>
      </c>
      <c r="B11" s="7">
        <v>2.6</v>
      </c>
      <c r="C11" s="10">
        <f>Master_Data!E11</f>
        <v>1.3738999999999999</v>
      </c>
      <c r="D11" s="10">
        <f>Master_Data!E24</f>
        <v>1.3851</v>
      </c>
      <c r="E11" s="10">
        <f t="shared" si="0"/>
        <v>1.1200000000000099E-2</v>
      </c>
      <c r="F11" s="11">
        <f>Master_Data!L11</f>
        <v>78.266368845076869</v>
      </c>
      <c r="G11" s="11">
        <f>Master_Data!L24</f>
        <v>82.464851967826576</v>
      </c>
      <c r="H11" s="11">
        <f t="shared" si="1"/>
        <v>4.1984831227497068</v>
      </c>
    </row>
    <row r="12" spans="1:8">
      <c r="A12" s="5" t="s">
        <v>33</v>
      </c>
      <c r="B12" s="7">
        <v>2.8</v>
      </c>
      <c r="C12" s="10">
        <f>Master_Data!E12</f>
        <v>1.3774999999999999</v>
      </c>
      <c r="D12" s="10">
        <f>Master_Data!E25</f>
        <v>1.3880999999999999</v>
      </c>
      <c r="E12" s="10">
        <f t="shared" si="0"/>
        <v>1.0599999999999943E-2</v>
      </c>
      <c r="F12" s="11">
        <f>Master_Data!L12</f>
        <v>73.614058822830032</v>
      </c>
      <c r="G12" s="11">
        <f>Master_Data!L25</f>
        <v>79.01587894355734</v>
      </c>
      <c r="H12" s="11">
        <f t="shared" si="1"/>
        <v>5.401820120727308</v>
      </c>
    </row>
    <row r="13" spans="1:8">
      <c r="A13" s="5" t="s">
        <v>33</v>
      </c>
      <c r="B13" s="7">
        <v>3</v>
      </c>
      <c r="C13" s="10">
        <f>Master_Data!E13</f>
        <v>1.3811</v>
      </c>
      <c r="D13" s="10">
        <f>Master_Data!E26</f>
        <v>1.3911</v>
      </c>
      <c r="E13" s="10">
        <f t="shared" si="0"/>
        <v>1.0000000000000009E-2</v>
      </c>
      <c r="F13" s="11">
        <f>Master_Data!L13</f>
        <v>67.909801216473483</v>
      </c>
      <c r="G13" s="11">
        <f>Master_Data!L26</f>
        <v>74.559753650511567</v>
      </c>
      <c r="H13" s="11">
        <f t="shared" si="1"/>
        <v>6.6499524340380844</v>
      </c>
    </row>
    <row r="14" spans="1:8">
      <c r="A14" s="5" t="s">
        <v>33</v>
      </c>
      <c r="B14" s="7">
        <v>3.2</v>
      </c>
      <c r="C14" s="10">
        <f>Master_Data!E14</f>
        <v>1.3851</v>
      </c>
      <c r="D14" s="10">
        <f>Master_Data!E27</f>
        <v>1.3942000000000001</v>
      </c>
      <c r="E14" s="10">
        <f t="shared" si="0"/>
        <v>9.100000000000108E-3</v>
      </c>
      <c r="F14" s="11">
        <f>Master_Data!L14</f>
        <v>61.506935002070072</v>
      </c>
      <c r="G14" s="11">
        <f>Master_Data!L27</f>
        <v>69.116893580146098</v>
      </c>
      <c r="H14" s="11">
        <f t="shared" si="1"/>
        <v>7.609958578076025</v>
      </c>
    </row>
    <row r="15" spans="1:8">
      <c r="A15" s="5" t="s">
        <v>36</v>
      </c>
      <c r="B15" s="7">
        <v>0.8</v>
      </c>
      <c r="C15" s="10">
        <f>Master_Data!E28</f>
        <v>1.2769999999999999</v>
      </c>
      <c r="D15" s="10">
        <f>Master_Data!E41</f>
        <v>1.2883</v>
      </c>
      <c r="E15" s="10">
        <f t="shared" si="0"/>
        <v>1.1300000000000088E-2</v>
      </c>
      <c r="F15" s="11">
        <f>Master_Data!L28</f>
        <v>84.838983863919353</v>
      </c>
      <c r="G15" s="11">
        <f>Master_Data!L41</f>
        <v>86.050919778996786</v>
      </c>
      <c r="H15" s="11">
        <f t="shared" si="1"/>
        <v>1.2119359150774329</v>
      </c>
    </row>
    <row r="16" spans="1:8">
      <c r="A16" s="5" t="s">
        <v>36</v>
      </c>
      <c r="B16" s="7">
        <v>1</v>
      </c>
      <c r="C16" s="10">
        <f>Master_Data!E29</f>
        <v>1.3121</v>
      </c>
      <c r="D16" s="10">
        <f>Master_Data!E42</f>
        <v>1.3240000000000001</v>
      </c>
      <c r="E16" s="10">
        <f t="shared" si="0"/>
        <v>1.1900000000000022E-2</v>
      </c>
      <c r="F16" s="11">
        <f>Master_Data!L29</f>
        <v>87.981900912105573</v>
      </c>
      <c r="G16" s="11">
        <f>Master_Data!L42</f>
        <v>89.052955604583616</v>
      </c>
      <c r="H16" s="11">
        <f t="shared" si="1"/>
        <v>1.0710546924780431</v>
      </c>
    </row>
    <row r="17" spans="1:8">
      <c r="A17" s="5" t="s">
        <v>36</v>
      </c>
      <c r="B17" s="7">
        <v>1.2</v>
      </c>
      <c r="C17" s="10">
        <f>Master_Data!E30</f>
        <v>1.3334999999999999</v>
      </c>
      <c r="D17" s="10">
        <f>Master_Data!E43</f>
        <v>1.3458000000000001</v>
      </c>
      <c r="E17" s="10">
        <f t="shared" si="0"/>
        <v>1.23000000000002E-2</v>
      </c>
      <c r="F17" s="11">
        <f>Master_Data!L30</f>
        <v>89.185600114069942</v>
      </c>
      <c r="G17" s="11">
        <f>Master_Data!L43</f>
        <v>90.222638442807011</v>
      </c>
      <c r="H17" s="11">
        <f t="shared" si="1"/>
        <v>1.0370383287370686</v>
      </c>
    </row>
    <row r="18" spans="1:8">
      <c r="A18" s="5" t="s">
        <v>36</v>
      </c>
      <c r="B18" s="7">
        <v>1.4</v>
      </c>
      <c r="C18" s="10">
        <f>Master_Data!E31</f>
        <v>1.3474999999999999</v>
      </c>
      <c r="D18" s="10">
        <f>Master_Data!E44</f>
        <v>1.3599000000000001</v>
      </c>
      <c r="E18" s="10">
        <f t="shared" si="0"/>
        <v>1.2400000000000189E-2</v>
      </c>
      <c r="F18" s="11">
        <f>Master_Data!L31</f>
        <v>89.503597839655384</v>
      </c>
      <c r="G18" s="11">
        <f>Master_Data!L44</f>
        <v>90.611485602262448</v>
      </c>
      <c r="H18" s="11">
        <f t="shared" si="1"/>
        <v>1.1078877626070636</v>
      </c>
    </row>
    <row r="19" spans="1:8">
      <c r="A19" s="5" t="s">
        <v>36</v>
      </c>
      <c r="B19" s="7">
        <v>1.6</v>
      </c>
      <c r="C19" s="10">
        <f>Master_Data!E32</f>
        <v>1.3572</v>
      </c>
      <c r="D19" s="10">
        <f>Master_Data!E45</f>
        <v>1.3695999999999999</v>
      </c>
      <c r="E19" s="10">
        <f t="shared" si="0"/>
        <v>1.2399999999999967E-2</v>
      </c>
      <c r="F19" s="11">
        <f>Master_Data!L32</f>
        <v>89.296860103186262</v>
      </c>
      <c r="G19" s="11">
        <f>Master_Data!L45</f>
        <v>90.539966940624524</v>
      </c>
      <c r="H19" s="11">
        <f t="shared" si="1"/>
        <v>1.2431068374382619</v>
      </c>
    </row>
    <row r="20" spans="1:8">
      <c r="A20" s="5" t="s">
        <v>36</v>
      </c>
      <c r="B20" s="7">
        <v>1.8</v>
      </c>
      <c r="C20" s="10">
        <f>Master_Data!E33</f>
        <v>1.3643000000000001</v>
      </c>
      <c r="D20" s="10">
        <f>Master_Data!E46</f>
        <v>1.3767</v>
      </c>
      <c r="E20" s="10">
        <f t="shared" si="0"/>
        <v>1.2399999999999967E-2</v>
      </c>
      <c r="F20" s="11">
        <f>Master_Data!L33</f>
        <v>88.673618041334336</v>
      </c>
      <c r="G20" s="11">
        <f>Master_Data!L46</f>
        <v>90.126588684502423</v>
      </c>
      <c r="H20" s="11">
        <f t="shared" si="1"/>
        <v>1.4529706431680864</v>
      </c>
    </row>
    <row r="21" spans="1:8">
      <c r="A21" s="5" t="s">
        <v>36</v>
      </c>
      <c r="B21" s="7">
        <v>2</v>
      </c>
      <c r="C21" s="10">
        <f>Master_Data!E34</f>
        <v>1.3696999999999999</v>
      </c>
      <c r="D21" s="10">
        <f>Master_Data!E47</f>
        <v>1.3819999999999999</v>
      </c>
      <c r="E21" s="10">
        <f t="shared" si="0"/>
        <v>1.2299999999999978E-2</v>
      </c>
      <c r="F21" s="11">
        <f>Master_Data!L34</f>
        <v>87.628217078220658</v>
      </c>
      <c r="G21" s="11">
        <f>Master_Data!L47</f>
        <v>89.400672828580525</v>
      </c>
      <c r="H21" s="11">
        <f t="shared" si="1"/>
        <v>1.7724557503598675</v>
      </c>
    </row>
    <row r="22" spans="1:8">
      <c r="A22" s="5" t="s">
        <v>36</v>
      </c>
      <c r="B22" s="7">
        <v>2.2000000000000002</v>
      </c>
      <c r="C22" s="10">
        <f>Master_Data!E35</f>
        <v>1.3741000000000001</v>
      </c>
      <c r="D22" s="10">
        <f>Master_Data!E48</f>
        <v>1.3862000000000001</v>
      </c>
      <c r="E22" s="10">
        <f t="shared" si="0"/>
        <v>1.21E-2</v>
      </c>
      <c r="F22" s="11">
        <f>Master_Data!L35</f>
        <v>86.098196621101025</v>
      </c>
      <c r="G22" s="11">
        <f>Master_Data!L48</f>
        <v>88.320523543868305</v>
      </c>
      <c r="H22" s="11">
        <f t="shared" si="1"/>
        <v>2.2223269227672802</v>
      </c>
    </row>
    <row r="23" spans="1:8">
      <c r="A23" s="5" t="s">
        <v>36</v>
      </c>
      <c r="B23" s="7">
        <v>2.4</v>
      </c>
      <c r="C23" s="10">
        <f>Master_Data!E36</f>
        <v>1.3776999999999999</v>
      </c>
      <c r="D23" s="10">
        <f>Master_Data!E49</f>
        <v>1.3895999999999999</v>
      </c>
      <c r="E23" s="10">
        <f t="shared" si="0"/>
        <v>1.1900000000000022E-2</v>
      </c>
      <c r="F23" s="11">
        <f>Master_Data!L36</f>
        <v>83.965287996463147</v>
      </c>
      <c r="G23" s="11">
        <f>Master_Data!L49</f>
        <v>86.821667663089869</v>
      </c>
      <c r="H23" s="11">
        <f t="shared" si="1"/>
        <v>2.8563796666267223</v>
      </c>
    </row>
    <row r="24" spans="1:8">
      <c r="A24" s="5" t="s">
        <v>36</v>
      </c>
      <c r="B24" s="7">
        <v>2.6</v>
      </c>
      <c r="C24" s="10">
        <f>Master_Data!E37</f>
        <v>1.3811</v>
      </c>
      <c r="D24" s="10">
        <f>Master_Data!E50</f>
        <v>1.3926000000000001</v>
      </c>
      <c r="E24" s="10">
        <f t="shared" si="0"/>
        <v>1.1500000000000066E-2</v>
      </c>
      <c r="F24" s="11">
        <f>Master_Data!L37</f>
        <v>81.049371157402561</v>
      </c>
      <c r="G24" s="11">
        <f>Master_Data!L50</f>
        <v>84.77197678359228</v>
      </c>
      <c r="H24" s="11">
        <f t="shared" si="1"/>
        <v>3.7226056261897185</v>
      </c>
    </row>
    <row r="25" spans="1:8">
      <c r="A25" s="5" t="s">
        <v>36</v>
      </c>
      <c r="B25" s="7">
        <v>2.8</v>
      </c>
      <c r="C25" s="10">
        <f>Master_Data!E38</f>
        <v>1.3842000000000001</v>
      </c>
      <c r="D25" s="10">
        <f>Master_Data!E51</f>
        <v>1.3953</v>
      </c>
      <c r="E25" s="10">
        <f t="shared" si="0"/>
        <v>1.1099999999999888E-2</v>
      </c>
      <c r="F25" s="11">
        <f>Master_Data!L38</f>
        <v>77.184000265792207</v>
      </c>
      <c r="G25" s="11">
        <f>Master_Data!L51</f>
        <v>82.024452483502941</v>
      </c>
      <c r="H25" s="11">
        <f t="shared" si="1"/>
        <v>4.8404522177107339</v>
      </c>
    </row>
    <row r="26" spans="1:8">
      <c r="A26" s="5" t="s">
        <v>36</v>
      </c>
      <c r="B26" s="7">
        <v>3</v>
      </c>
      <c r="C26" s="10">
        <f>Master_Data!E39</f>
        <v>1.3874</v>
      </c>
      <c r="D26" s="10">
        <f>Master_Data!E52</f>
        <v>1.3979999999999999</v>
      </c>
      <c r="E26" s="10">
        <f t="shared" si="0"/>
        <v>1.0599999999999943E-2</v>
      </c>
      <c r="F26" s="11">
        <f>Master_Data!L39</f>
        <v>72.258358021149434</v>
      </c>
      <c r="G26" s="11">
        <f>Master_Data!L52</f>
        <v>78.413102928727284</v>
      </c>
      <c r="H26" s="11">
        <f t="shared" si="1"/>
        <v>6.1547449075778502</v>
      </c>
    </row>
    <row r="27" spans="1:8">
      <c r="A27" s="5" t="s">
        <v>36</v>
      </c>
      <c r="B27" s="7">
        <v>3.2</v>
      </c>
      <c r="C27" s="10">
        <f>Master_Data!E40</f>
        <v>1.3908</v>
      </c>
      <c r="D27" s="10">
        <f>Master_Data!E53</f>
        <v>1.4006000000000001</v>
      </c>
      <c r="E27" s="10">
        <f t="shared" si="0"/>
        <v>9.8000000000000309E-3</v>
      </c>
      <c r="F27" s="11">
        <f>Master_Data!L40</f>
        <v>66.401637891508855</v>
      </c>
      <c r="G27" s="11">
        <f>Master_Data!L53</f>
        <v>73.837834653482048</v>
      </c>
      <c r="H27" s="11">
        <f t="shared" si="1"/>
        <v>7.4361967619731928</v>
      </c>
    </row>
    <row r="28" spans="1:8">
      <c r="A28" s="5" t="s">
        <v>37</v>
      </c>
      <c r="B28" s="7">
        <v>0.8</v>
      </c>
      <c r="C28" s="10">
        <f>Master_Data!E54</f>
        <v>1.2786</v>
      </c>
      <c r="D28" s="10">
        <f>Master_Data!E67</f>
        <v>1.2899</v>
      </c>
      <c r="E28" s="10">
        <f t="shared" si="0"/>
        <v>1.1300000000000088E-2</v>
      </c>
      <c r="F28" s="11">
        <f>Master_Data!L54</f>
        <v>85.017189612010043</v>
      </c>
      <c r="G28" s="11">
        <f>Master_Data!L67</f>
        <v>86.219731126792155</v>
      </c>
      <c r="H28" s="11">
        <f t="shared" si="1"/>
        <v>1.2025415147821121</v>
      </c>
    </row>
    <row r="29" spans="1:8">
      <c r="A29" s="5" t="s">
        <v>37</v>
      </c>
      <c r="B29" s="7">
        <v>1</v>
      </c>
      <c r="C29" s="10">
        <f>Master_Data!E55</f>
        <v>1.3138000000000001</v>
      </c>
      <c r="D29" s="10">
        <f>Master_Data!E68</f>
        <v>1.3258000000000001</v>
      </c>
      <c r="E29" s="10">
        <f t="shared" si="0"/>
        <v>1.2000000000000011E-2</v>
      </c>
      <c r="F29" s="11">
        <f>Master_Data!L55</f>
        <v>88.139435067426476</v>
      </c>
      <c r="G29" s="11">
        <f>Master_Data!L68</f>
        <v>89.194014769725655</v>
      </c>
      <c r="H29" s="11">
        <f t="shared" si="1"/>
        <v>1.0545797022991792</v>
      </c>
    </row>
    <row r="30" spans="1:8">
      <c r="A30" s="5" t="s">
        <v>37</v>
      </c>
      <c r="B30" s="7">
        <v>1.2</v>
      </c>
      <c r="C30" s="10">
        <f>Master_Data!E56</f>
        <v>1.3352999999999999</v>
      </c>
      <c r="D30" s="10">
        <f>Master_Data!E69</f>
        <v>1.3474999999999999</v>
      </c>
      <c r="E30" s="10">
        <f t="shared" si="0"/>
        <v>1.2199999999999989E-2</v>
      </c>
      <c r="F30" s="11">
        <f>Master_Data!L56</f>
        <v>89.338585632649455</v>
      </c>
      <c r="G30" s="11">
        <f>Master_Data!L69</f>
        <v>90.367319588098809</v>
      </c>
      <c r="H30" s="11">
        <f t="shared" si="1"/>
        <v>1.0287339554493542</v>
      </c>
    </row>
    <row r="31" spans="1:8">
      <c r="A31" s="5" t="s">
        <v>37</v>
      </c>
      <c r="B31" s="7">
        <v>1.4</v>
      </c>
      <c r="C31" s="10">
        <f>Master_Data!E57</f>
        <v>1.3492999999999999</v>
      </c>
      <c r="D31" s="10">
        <f>Master_Data!E70</f>
        <v>1.3616999999999999</v>
      </c>
      <c r="E31" s="10">
        <f t="shared" si="0"/>
        <v>1.2399999999999967E-2</v>
      </c>
      <c r="F31" s="11">
        <f>Master_Data!L57</f>
        <v>89.660198449863117</v>
      </c>
      <c r="G31" s="11">
        <f>Master_Data!L70</f>
        <v>90.758365115184418</v>
      </c>
      <c r="H31" s="11">
        <f t="shared" si="1"/>
        <v>1.0981666653213011</v>
      </c>
    </row>
    <row r="32" spans="1:8">
      <c r="A32" s="5" t="s">
        <v>37</v>
      </c>
      <c r="B32" s="7">
        <v>1.6</v>
      </c>
      <c r="C32" s="10">
        <f>Master_Data!E58</f>
        <v>1.359</v>
      </c>
      <c r="D32" s="10">
        <f>Master_Data!E71</f>
        <v>1.3714</v>
      </c>
      <c r="E32" s="10">
        <f t="shared" si="0"/>
        <v>1.2399999999999967E-2</v>
      </c>
      <c r="F32" s="11">
        <f>Master_Data!L58</f>
        <v>89.482186925527088</v>
      </c>
      <c r="G32" s="11">
        <f>Master_Data!L71</f>
        <v>90.706712789618408</v>
      </c>
      <c r="H32" s="11">
        <f t="shared" si="1"/>
        <v>1.2245258640913192</v>
      </c>
    </row>
    <row r="33" spans="1:8">
      <c r="A33" s="5" t="s">
        <v>37</v>
      </c>
      <c r="B33" s="7">
        <v>1.8</v>
      </c>
      <c r="C33" s="10">
        <f>Master_Data!E59</f>
        <v>1.3660000000000001</v>
      </c>
      <c r="D33" s="10">
        <f>Master_Data!E72</f>
        <v>1.3784000000000001</v>
      </c>
      <c r="E33" s="10">
        <f t="shared" si="0"/>
        <v>1.2399999999999967E-2</v>
      </c>
      <c r="F33" s="11">
        <f>Master_Data!L59</f>
        <v>88.896585002542466</v>
      </c>
      <c r="G33" s="11">
        <f>Master_Data!L72</f>
        <v>90.326425167894968</v>
      </c>
      <c r="H33" s="11">
        <f t="shared" si="1"/>
        <v>1.4298401653525019</v>
      </c>
    </row>
    <row r="34" spans="1:8">
      <c r="A34" s="5" t="s">
        <v>37</v>
      </c>
      <c r="B34" s="7">
        <v>2</v>
      </c>
      <c r="C34" s="10">
        <f>Master_Data!E60</f>
        <v>1.3714</v>
      </c>
      <c r="D34" s="10">
        <f>Master_Data!E73</f>
        <v>1.3837999999999999</v>
      </c>
      <c r="E34" s="10">
        <f t="shared" ref="E34:E65" si="2">ABS(D34-C34)</f>
        <v>1.2399999999999967E-2</v>
      </c>
      <c r="F34" s="11">
        <f>Master_Data!L60</f>
        <v>87.902464144643602</v>
      </c>
      <c r="G34" s="11">
        <f>Master_Data!L73</f>
        <v>89.629639500921371</v>
      </c>
      <c r="H34" s="11">
        <f t="shared" ref="H34:H65" si="3">ABS(G34-F34)</f>
        <v>1.727175356277769</v>
      </c>
    </row>
    <row r="35" spans="1:8">
      <c r="A35" s="5" t="s">
        <v>37</v>
      </c>
      <c r="B35" s="7">
        <v>2.2000000000000002</v>
      </c>
      <c r="C35" s="10">
        <f>Master_Data!E61</f>
        <v>1.3757999999999999</v>
      </c>
      <c r="D35" s="10">
        <f>Master_Data!E74</f>
        <v>1.3878999999999999</v>
      </c>
      <c r="E35" s="10">
        <f t="shared" si="2"/>
        <v>1.21E-2</v>
      </c>
      <c r="F35" s="11">
        <f>Master_Data!L61</f>
        <v>86.441009807720732</v>
      </c>
      <c r="G35" s="11">
        <f>Master_Data!L74</f>
        <v>88.611557896543999</v>
      </c>
      <c r="H35" s="11">
        <f t="shared" si="3"/>
        <v>2.1705480888232671</v>
      </c>
    </row>
    <row r="36" spans="1:8">
      <c r="A36" s="5" t="s">
        <v>37</v>
      </c>
      <c r="B36" s="7">
        <v>2.4</v>
      </c>
      <c r="C36" s="10">
        <f>Master_Data!E62</f>
        <v>1.3794</v>
      </c>
      <c r="D36" s="10">
        <f>Master_Data!E75</f>
        <v>1.3914</v>
      </c>
      <c r="E36" s="10">
        <f t="shared" si="2"/>
        <v>1.2000000000000011E-2</v>
      </c>
      <c r="F36" s="11">
        <f>Master_Data!L62</f>
        <v>84.404412494896775</v>
      </c>
      <c r="G36" s="11">
        <f>Master_Data!L75</f>
        <v>87.180517737338619</v>
      </c>
      <c r="H36" s="11">
        <f t="shared" si="3"/>
        <v>2.7761052424418438</v>
      </c>
    </row>
    <row r="37" spans="1:8">
      <c r="A37" s="5" t="s">
        <v>37</v>
      </c>
      <c r="B37" s="7">
        <v>2.6</v>
      </c>
      <c r="C37" s="10">
        <f>Master_Data!E63</f>
        <v>1.3827</v>
      </c>
      <c r="D37" s="10">
        <f>Master_Data!E76</f>
        <v>1.3943000000000001</v>
      </c>
      <c r="E37" s="10">
        <f t="shared" si="2"/>
        <v>1.1600000000000055E-2</v>
      </c>
      <c r="F37" s="11">
        <f>Master_Data!L63</f>
        <v>81.623808641699057</v>
      </c>
      <c r="G37" s="11">
        <f>Master_Data!L76</f>
        <v>85.242525067488202</v>
      </c>
      <c r="H37" s="11">
        <f t="shared" si="3"/>
        <v>3.6187164257891453</v>
      </c>
    </row>
    <row r="38" spans="1:8">
      <c r="A38" s="5" t="s">
        <v>37</v>
      </c>
      <c r="B38" s="7">
        <v>2.8</v>
      </c>
      <c r="C38" s="10">
        <f>Master_Data!E64</f>
        <v>1.3857999999999999</v>
      </c>
      <c r="D38" s="10">
        <f>Master_Data!E77</f>
        <v>1.397</v>
      </c>
      <c r="E38" s="10">
        <f t="shared" si="2"/>
        <v>1.1200000000000099E-2</v>
      </c>
      <c r="F38" s="11">
        <f>Master_Data!L64</f>
        <v>77.926556667281687</v>
      </c>
      <c r="G38" s="11">
        <f>Master_Data!L77</f>
        <v>82.635749503043769</v>
      </c>
      <c r="H38" s="11">
        <f t="shared" si="3"/>
        <v>4.7091928357620816</v>
      </c>
    </row>
    <row r="39" spans="1:8">
      <c r="A39" s="5" t="s">
        <v>37</v>
      </c>
      <c r="B39" s="7">
        <v>3</v>
      </c>
      <c r="C39" s="10">
        <f>Master_Data!E65</f>
        <v>1.3889</v>
      </c>
      <c r="D39" s="10">
        <f>Master_Data!E78</f>
        <v>1.3995</v>
      </c>
      <c r="E39" s="10">
        <f t="shared" si="2"/>
        <v>1.0599999999999943E-2</v>
      </c>
      <c r="F39" s="11">
        <f>Master_Data!L65</f>
        <v>73.191265587504503</v>
      </c>
      <c r="G39" s="11">
        <f>Master_Data!L78</f>
        <v>79.214334732252311</v>
      </c>
      <c r="H39" s="11">
        <f t="shared" si="3"/>
        <v>6.023069144747808</v>
      </c>
    </row>
    <row r="40" spans="1:8">
      <c r="A40" s="5" t="s">
        <v>37</v>
      </c>
      <c r="B40" s="7">
        <v>3.2</v>
      </c>
      <c r="C40" s="10">
        <f>Master_Data!E66</f>
        <v>1.3920999999999999</v>
      </c>
      <c r="D40" s="10">
        <f>Master_Data!E79</f>
        <v>1.4020999999999999</v>
      </c>
      <c r="E40" s="10">
        <f t="shared" si="2"/>
        <v>1.0000000000000009E-2</v>
      </c>
      <c r="F40" s="11">
        <f>Master_Data!L66</f>
        <v>67.493985332686435</v>
      </c>
      <c r="G40" s="11">
        <f>Master_Data!L79</f>
        <v>74.83668955839255</v>
      </c>
      <c r="H40" s="11">
        <f t="shared" si="3"/>
        <v>7.3427042257061146</v>
      </c>
    </row>
    <row r="41" spans="1:8">
      <c r="A41" s="5" t="s">
        <v>38</v>
      </c>
      <c r="B41" s="7">
        <v>0.8</v>
      </c>
      <c r="C41" s="10">
        <f>Master_Data!E80</f>
        <v>1.2636000000000001</v>
      </c>
      <c r="D41" s="10">
        <f>Master_Data!E93</f>
        <v>1.2827</v>
      </c>
      <c r="E41" s="10">
        <f t="shared" si="2"/>
        <v>1.9099999999999895E-2</v>
      </c>
      <c r="F41" s="11">
        <f>Master_Data!L80</f>
        <v>83.266841633009221</v>
      </c>
      <c r="G41" s="11">
        <f>Master_Data!L93</f>
        <v>85.450009237972452</v>
      </c>
      <c r="H41" s="11">
        <f t="shared" si="3"/>
        <v>2.1831676049632307</v>
      </c>
    </row>
    <row r="42" spans="1:8">
      <c r="A42" s="5" t="s">
        <v>38</v>
      </c>
      <c r="B42" s="7">
        <v>1</v>
      </c>
      <c r="C42" s="10">
        <f>Master_Data!E81</f>
        <v>1.2978000000000001</v>
      </c>
      <c r="D42" s="10">
        <f>Master_Data!E94</f>
        <v>1.3181</v>
      </c>
      <c r="E42" s="10">
        <f t="shared" si="2"/>
        <v>2.0299999999999985E-2</v>
      </c>
      <c r="F42" s="11">
        <f>Master_Data!L81</f>
        <v>86.581674446993262</v>
      </c>
      <c r="G42" s="11">
        <f>Master_Data!L94</f>
        <v>88.522203434111489</v>
      </c>
      <c r="H42" s="11">
        <f t="shared" si="3"/>
        <v>1.9405289871182276</v>
      </c>
    </row>
    <row r="43" spans="1:8">
      <c r="A43" s="5" t="s">
        <v>38</v>
      </c>
      <c r="B43" s="7">
        <v>1.2</v>
      </c>
      <c r="C43" s="10">
        <f>Master_Data!E82</f>
        <v>1.3189</v>
      </c>
      <c r="D43" s="10">
        <f>Master_Data!E95</f>
        <v>1.3395999999999999</v>
      </c>
      <c r="E43" s="10">
        <f t="shared" si="2"/>
        <v>2.0699999999999941E-2</v>
      </c>
      <c r="F43" s="11">
        <f>Master_Data!L82</f>
        <v>87.784154357270452</v>
      </c>
      <c r="G43" s="11">
        <f>Master_Data!L95</f>
        <v>89.719239893685582</v>
      </c>
      <c r="H43" s="11">
        <f t="shared" si="3"/>
        <v>1.93508553641513</v>
      </c>
    </row>
    <row r="44" spans="1:8">
      <c r="A44" s="5" t="s">
        <v>38</v>
      </c>
      <c r="B44" s="7">
        <v>1.4</v>
      </c>
      <c r="C44" s="10">
        <f>Master_Data!E83</f>
        <v>1.3327</v>
      </c>
      <c r="D44" s="10">
        <f>Master_Data!E96</f>
        <v>1.3536999999999999</v>
      </c>
      <c r="E44" s="10">
        <f t="shared" si="2"/>
        <v>2.0999999999999908E-2</v>
      </c>
      <c r="F44" s="11">
        <f>Master_Data!L83</f>
        <v>88.003156961158126</v>
      </c>
      <c r="G44" s="11">
        <f>Master_Data!L96</f>
        <v>90.067051396975231</v>
      </c>
      <c r="H44" s="11">
        <f t="shared" si="3"/>
        <v>2.0638944358171045</v>
      </c>
    </row>
    <row r="45" spans="1:8">
      <c r="A45" s="5" t="s">
        <v>38</v>
      </c>
      <c r="B45" s="7">
        <v>1.6</v>
      </c>
      <c r="C45" s="10">
        <f>Master_Data!E84</f>
        <v>1.3424</v>
      </c>
      <c r="D45" s="10">
        <f>Master_Data!E97</f>
        <v>1.3633999999999999</v>
      </c>
      <c r="E45" s="10">
        <f t="shared" si="2"/>
        <v>2.0999999999999908E-2</v>
      </c>
      <c r="F45" s="11">
        <f>Master_Data!L84</f>
        <v>87.588312746722593</v>
      </c>
      <c r="G45" s="11">
        <f>Master_Data!L97</f>
        <v>89.935604983504916</v>
      </c>
      <c r="H45" s="11">
        <f t="shared" si="3"/>
        <v>2.347292236782323</v>
      </c>
    </row>
    <row r="46" spans="1:8">
      <c r="A46" s="5" t="s">
        <v>38</v>
      </c>
      <c r="B46" s="7">
        <v>1.8</v>
      </c>
      <c r="C46" s="10">
        <f>Master_Data!E85</f>
        <v>1.3494999999999999</v>
      </c>
      <c r="D46" s="10">
        <f>Master_Data!E98</f>
        <v>1.3704000000000001</v>
      </c>
      <c r="E46" s="10">
        <f t="shared" si="2"/>
        <v>2.0900000000000141E-2</v>
      </c>
      <c r="F46" s="11">
        <f>Master_Data!L85</f>
        <v>86.632807028444702</v>
      </c>
      <c r="G46" s="11">
        <f>Master_Data!L98</f>
        <v>89.429970854569078</v>
      </c>
      <c r="H46" s="11">
        <f t="shared" si="3"/>
        <v>2.7971638261243754</v>
      </c>
    </row>
    <row r="47" spans="1:8">
      <c r="A47" s="5" t="s">
        <v>38</v>
      </c>
      <c r="B47" s="7">
        <v>2</v>
      </c>
      <c r="C47" s="10">
        <f>Master_Data!E86</f>
        <v>1.3551</v>
      </c>
      <c r="D47" s="10">
        <f>Master_Data!E99</f>
        <v>1.3757999999999999</v>
      </c>
      <c r="E47" s="10">
        <f t="shared" si="2"/>
        <v>2.0699999999999941E-2</v>
      </c>
      <c r="F47" s="11">
        <f>Master_Data!L86</f>
        <v>85.09365373278365</v>
      </c>
      <c r="G47" s="11">
        <f>Master_Data!L99</f>
        <v>88.550386055665342</v>
      </c>
      <c r="H47" s="11">
        <f t="shared" si="3"/>
        <v>3.4567323228816917</v>
      </c>
    </row>
    <row r="48" spans="1:8">
      <c r="A48" s="5" t="s">
        <v>38</v>
      </c>
      <c r="B48" s="7">
        <v>2.2000000000000002</v>
      </c>
      <c r="C48" s="10">
        <f>Master_Data!E87</f>
        <v>1.3597999999999999</v>
      </c>
      <c r="D48" s="10">
        <f>Master_Data!E100</f>
        <v>1.3801000000000001</v>
      </c>
      <c r="E48" s="10">
        <f t="shared" si="2"/>
        <v>2.0300000000000207E-2</v>
      </c>
      <c r="F48" s="11">
        <f>Master_Data!L87</f>
        <v>82.852781611437848</v>
      </c>
      <c r="G48" s="11">
        <f>Master_Data!L100</f>
        <v>87.258176546949912</v>
      </c>
      <c r="H48" s="11">
        <f t="shared" si="3"/>
        <v>4.4053949355120636</v>
      </c>
    </row>
    <row r="49" spans="1:8">
      <c r="A49" s="5" t="s">
        <v>38</v>
      </c>
      <c r="B49" s="7">
        <v>2.4</v>
      </c>
      <c r="C49" s="10">
        <f>Master_Data!E88</f>
        <v>1.3638999999999999</v>
      </c>
      <c r="D49" s="10">
        <f>Master_Data!E101</f>
        <v>1.3835999999999999</v>
      </c>
      <c r="E49" s="10">
        <f t="shared" si="2"/>
        <v>1.9700000000000051E-2</v>
      </c>
      <c r="F49" s="11">
        <f>Master_Data!L88</f>
        <v>79.735075586327369</v>
      </c>
      <c r="G49" s="11">
        <f>Master_Data!L101</f>
        <v>85.45933436865019</v>
      </c>
      <c r="H49" s="11">
        <f t="shared" si="3"/>
        <v>5.7242587823228206</v>
      </c>
    </row>
    <row r="50" spans="1:8">
      <c r="A50" s="5" t="s">
        <v>38</v>
      </c>
      <c r="B50" s="7">
        <v>2.6</v>
      </c>
      <c r="C50" s="10">
        <f>Master_Data!E89</f>
        <v>1.3677999999999999</v>
      </c>
      <c r="D50" s="10">
        <f>Master_Data!E102</f>
        <v>1.3868</v>
      </c>
      <c r="E50" s="10">
        <f t="shared" si="2"/>
        <v>1.9000000000000128E-2</v>
      </c>
      <c r="F50" s="11">
        <f>Master_Data!L89</f>
        <v>75.543724266373758</v>
      </c>
      <c r="G50" s="11">
        <f>Master_Data!L102</f>
        <v>83.000134789335476</v>
      </c>
      <c r="H50" s="11">
        <f t="shared" si="3"/>
        <v>7.4564105229617184</v>
      </c>
    </row>
    <row r="51" spans="1:8">
      <c r="A51" s="5" t="s">
        <v>38</v>
      </c>
      <c r="B51" s="7">
        <v>2.8</v>
      </c>
      <c r="C51" s="10">
        <f>Master_Data!E90</f>
        <v>1.3716999999999999</v>
      </c>
      <c r="D51" s="10">
        <f>Master_Data!E103</f>
        <v>1.3896999999999999</v>
      </c>
      <c r="E51" s="10">
        <f t="shared" si="2"/>
        <v>1.8000000000000016E-2</v>
      </c>
      <c r="F51" s="11">
        <f>Master_Data!L90</f>
        <v>70.212784156851058</v>
      </c>
      <c r="G51" s="11">
        <f>Master_Data!L103</f>
        <v>79.719271381499041</v>
      </c>
      <c r="H51" s="11">
        <f t="shared" si="3"/>
        <v>9.5064872246479837</v>
      </c>
    </row>
    <row r="52" spans="1:8">
      <c r="A52" s="5" t="s">
        <v>38</v>
      </c>
      <c r="B52" s="7">
        <v>3</v>
      </c>
      <c r="C52" s="10">
        <f>Master_Data!E91</f>
        <v>1.3758999999999999</v>
      </c>
      <c r="D52" s="10">
        <f>Master_Data!E104</f>
        <v>1.3926000000000001</v>
      </c>
      <c r="E52" s="10">
        <f t="shared" si="2"/>
        <v>1.6700000000000159E-2</v>
      </c>
      <c r="F52" s="11">
        <f>Master_Data!L91</f>
        <v>63.943621288371588</v>
      </c>
      <c r="G52" s="11">
        <f>Master_Data!L104</f>
        <v>75.450852563749123</v>
      </c>
      <c r="H52" s="11">
        <f t="shared" si="3"/>
        <v>11.507231275377535</v>
      </c>
    </row>
    <row r="53" spans="1:8">
      <c r="A53" s="5" t="s">
        <v>38</v>
      </c>
      <c r="B53" s="7">
        <v>3.2</v>
      </c>
      <c r="C53" s="10">
        <f>Master_Data!E92</f>
        <v>1.3803000000000001</v>
      </c>
      <c r="D53" s="10">
        <f>Master_Data!E105</f>
        <v>1.3956</v>
      </c>
      <c r="E53" s="10">
        <f t="shared" si="2"/>
        <v>1.5299999999999869E-2</v>
      </c>
      <c r="F53" s="11">
        <f>Master_Data!L92</f>
        <v>57.311836753898064</v>
      </c>
      <c r="G53" s="11">
        <f>Master_Data!L105</f>
        <v>70.189706907627183</v>
      </c>
      <c r="H53" s="11">
        <f t="shared" si="3"/>
        <v>12.87787015372912</v>
      </c>
    </row>
    <row r="54" spans="1:8">
      <c r="A54" s="5" t="s">
        <v>39</v>
      </c>
      <c r="B54" s="7">
        <v>0.8</v>
      </c>
      <c r="C54" s="10">
        <f>Master_Data!E106</f>
        <v>1.2573000000000001</v>
      </c>
      <c r="D54" s="10">
        <f>Master_Data!E119</f>
        <v>1.2730999999999999</v>
      </c>
      <c r="E54" s="10">
        <f t="shared" si="2"/>
        <v>1.5799999999999814E-2</v>
      </c>
      <c r="F54" s="11">
        <f>Master_Data!L106</f>
        <v>82.494421998542904</v>
      </c>
      <c r="G54" s="11">
        <f>Master_Data!L119</f>
        <v>84.384269010665093</v>
      </c>
      <c r="H54" s="11">
        <f t="shared" si="3"/>
        <v>1.8898470121221891</v>
      </c>
    </row>
    <row r="55" spans="1:8">
      <c r="A55" s="5" t="s">
        <v>39</v>
      </c>
      <c r="B55" s="7">
        <v>1</v>
      </c>
      <c r="C55" s="10">
        <f>Master_Data!E107</f>
        <v>1.2911999999999999</v>
      </c>
      <c r="D55" s="10">
        <f>Master_Data!E120</f>
        <v>1.3079000000000001</v>
      </c>
      <c r="E55" s="10">
        <f t="shared" si="2"/>
        <v>1.6700000000000159E-2</v>
      </c>
      <c r="F55" s="11">
        <f>Master_Data!L107</f>
        <v>85.876963261729628</v>
      </c>
      <c r="G55" s="11">
        <f>Master_Data!L120</f>
        <v>87.58015954066444</v>
      </c>
      <c r="H55" s="11">
        <f t="shared" si="3"/>
        <v>1.7031962789348114</v>
      </c>
    </row>
    <row r="56" spans="1:8">
      <c r="A56" s="5" t="s">
        <v>39</v>
      </c>
      <c r="B56" s="7">
        <v>1.2</v>
      </c>
      <c r="C56" s="10">
        <f>Master_Data!E108</f>
        <v>1.3120000000000001</v>
      </c>
      <c r="D56" s="10">
        <f>Master_Data!E121</f>
        <v>1.3291999999999999</v>
      </c>
      <c r="E56" s="10">
        <f t="shared" si="2"/>
        <v>1.7199999999999882E-2</v>
      </c>
      <c r="F56" s="11">
        <f>Master_Data!L108</f>
        <v>87.083900755883349</v>
      </c>
      <c r="G56" s="11">
        <f>Master_Data!L121</f>
        <v>88.781517879125445</v>
      </c>
      <c r="H56" s="11">
        <f t="shared" si="3"/>
        <v>1.6976171232420967</v>
      </c>
    </row>
    <row r="57" spans="1:8">
      <c r="A57" s="5" t="s">
        <v>39</v>
      </c>
      <c r="B57" s="7">
        <v>1.4</v>
      </c>
      <c r="C57" s="10">
        <f>Master_Data!E109</f>
        <v>1.3258000000000001</v>
      </c>
      <c r="D57" s="10">
        <f>Master_Data!E122</f>
        <v>1.3431</v>
      </c>
      <c r="E57" s="10">
        <f t="shared" si="2"/>
        <v>1.7299999999999871E-2</v>
      </c>
      <c r="F57" s="11">
        <f>Master_Data!L109</f>
        <v>87.24130540252547</v>
      </c>
      <c r="G57" s="11">
        <f>Master_Data!L122</f>
        <v>89.085656871529523</v>
      </c>
      <c r="H57" s="11">
        <f t="shared" si="3"/>
        <v>1.844351469004053</v>
      </c>
    </row>
    <row r="58" spans="1:8">
      <c r="A58" s="5" t="s">
        <v>39</v>
      </c>
      <c r="B58" s="7">
        <v>1.6</v>
      </c>
      <c r="C58" s="10">
        <f>Master_Data!E110</f>
        <v>1.3354999999999999</v>
      </c>
      <c r="D58" s="10">
        <f>Master_Data!E123</f>
        <v>1.3528</v>
      </c>
      <c r="E58" s="10">
        <f t="shared" si="2"/>
        <v>1.7300000000000093E-2</v>
      </c>
      <c r="F58" s="11">
        <f>Master_Data!L110</f>
        <v>86.698285891356946</v>
      </c>
      <c r="G58" s="11">
        <f>Master_Data!L123</f>
        <v>88.821974991569348</v>
      </c>
      <c r="H58" s="11">
        <f t="shared" si="3"/>
        <v>2.1236891002124025</v>
      </c>
    </row>
    <row r="59" spans="1:8">
      <c r="A59" s="5" t="s">
        <v>39</v>
      </c>
      <c r="B59" s="7">
        <v>1.8</v>
      </c>
      <c r="C59" s="10">
        <f>Master_Data!E111</f>
        <v>1.3427</v>
      </c>
      <c r="D59" s="10">
        <f>Master_Data!E124</f>
        <v>1.3599000000000001</v>
      </c>
      <c r="E59" s="10">
        <f t="shared" si="2"/>
        <v>1.7200000000000104E-2</v>
      </c>
      <c r="F59" s="11">
        <f>Master_Data!L111</f>
        <v>85.550383836143425</v>
      </c>
      <c r="G59" s="11">
        <f>Master_Data!L124</f>
        <v>88.107280722498743</v>
      </c>
      <c r="H59" s="11">
        <f t="shared" si="3"/>
        <v>2.5568968863553181</v>
      </c>
    </row>
    <row r="60" spans="1:8">
      <c r="A60" s="5" t="s">
        <v>39</v>
      </c>
      <c r="B60" s="7">
        <v>2</v>
      </c>
      <c r="C60" s="10">
        <f>Master_Data!E112</f>
        <v>1.3484</v>
      </c>
      <c r="D60" s="10">
        <f>Master_Data!E125</f>
        <v>1.3653999999999999</v>
      </c>
      <c r="E60" s="10">
        <f t="shared" si="2"/>
        <v>1.6999999999999904E-2</v>
      </c>
      <c r="F60" s="11">
        <f>Master_Data!L112</f>
        <v>83.736329381402911</v>
      </c>
      <c r="G60" s="11">
        <f>Master_Data!L125</f>
        <v>86.926469269579925</v>
      </c>
      <c r="H60" s="11">
        <f t="shared" si="3"/>
        <v>3.1901398881770149</v>
      </c>
    </row>
    <row r="61" spans="1:8">
      <c r="A61" s="5" t="s">
        <v>39</v>
      </c>
      <c r="B61" s="7">
        <v>2.2000000000000002</v>
      </c>
      <c r="C61" s="10">
        <f>Master_Data!E113</f>
        <v>1.3532999999999999</v>
      </c>
      <c r="D61" s="10">
        <f>Master_Data!E126</f>
        <v>1.3697999999999999</v>
      </c>
      <c r="E61" s="10">
        <f t="shared" si="2"/>
        <v>1.6499999999999959E-2</v>
      </c>
      <c r="F61" s="11">
        <f>Master_Data!L113</f>
        <v>81.091983147922107</v>
      </c>
      <c r="G61" s="11">
        <f>Master_Data!L126</f>
        <v>85.208902422354242</v>
      </c>
      <c r="H61" s="11">
        <f t="shared" si="3"/>
        <v>4.116919274432135</v>
      </c>
    </row>
    <row r="62" spans="1:8">
      <c r="A62" s="5" t="s">
        <v>39</v>
      </c>
      <c r="B62" s="7">
        <v>2.4</v>
      </c>
      <c r="C62" s="10">
        <f>Master_Data!E114</f>
        <v>1.3575999999999999</v>
      </c>
      <c r="D62" s="10">
        <f>Master_Data!E127</f>
        <v>1.3735999999999999</v>
      </c>
      <c r="E62" s="10">
        <f t="shared" si="2"/>
        <v>1.6000000000000014E-2</v>
      </c>
      <c r="F62" s="11">
        <f>Master_Data!L114</f>
        <v>77.446691342311084</v>
      </c>
      <c r="G62" s="11">
        <f>Master_Data!L127</f>
        <v>82.807918992339665</v>
      </c>
      <c r="H62" s="11">
        <f t="shared" si="3"/>
        <v>5.3612276500285816</v>
      </c>
    </row>
    <row r="63" spans="1:8">
      <c r="A63" s="5" t="s">
        <v>39</v>
      </c>
      <c r="B63" s="7">
        <v>2.6</v>
      </c>
      <c r="C63" s="10">
        <f>Master_Data!E115</f>
        <v>1.3619000000000001</v>
      </c>
      <c r="D63" s="10">
        <f>Master_Data!E128</f>
        <v>1.3771</v>
      </c>
      <c r="E63" s="10">
        <f t="shared" si="2"/>
        <v>1.519999999999988E-2</v>
      </c>
      <c r="F63" s="11">
        <f>Master_Data!L115</f>
        <v>72.621442866884877</v>
      </c>
      <c r="G63" s="11">
        <f>Master_Data!L128</f>
        <v>79.540446275582127</v>
      </c>
      <c r="H63" s="11">
        <f t="shared" si="3"/>
        <v>6.9190034086972503</v>
      </c>
    </row>
    <row r="64" spans="1:8">
      <c r="A64" s="5" t="s">
        <v>39</v>
      </c>
      <c r="B64" s="7">
        <v>2.8</v>
      </c>
      <c r="C64" s="10">
        <f>Master_Data!E116</f>
        <v>1.3663000000000001</v>
      </c>
      <c r="D64" s="10">
        <f>Master_Data!E129</f>
        <v>1.3804000000000001</v>
      </c>
      <c r="E64" s="10">
        <f t="shared" si="2"/>
        <v>1.4100000000000001E-2</v>
      </c>
      <c r="F64" s="11">
        <f>Master_Data!L116</f>
        <v>66.667441294676536</v>
      </c>
      <c r="G64" s="11">
        <f>Master_Data!L129</f>
        <v>75.241330408878355</v>
      </c>
      <c r="H64" s="11">
        <f t="shared" si="3"/>
        <v>8.573889114201819</v>
      </c>
    </row>
    <row r="65" spans="1:8">
      <c r="A65" s="5" t="s">
        <v>39</v>
      </c>
      <c r="B65" s="7">
        <v>3</v>
      </c>
      <c r="C65" s="10">
        <f>Master_Data!E117</f>
        <v>1.3709</v>
      </c>
      <c r="D65" s="10">
        <f>Master_Data!E130</f>
        <v>1.3838999999999999</v>
      </c>
      <c r="E65" s="10">
        <f t="shared" si="2"/>
        <v>1.2999999999999901E-2</v>
      </c>
      <c r="F65" s="11">
        <f>Master_Data!L117</f>
        <v>60.021949747677375</v>
      </c>
      <c r="G65" s="11">
        <f>Master_Data!L130</f>
        <v>69.864097554036519</v>
      </c>
      <c r="H65" s="11">
        <f t="shared" si="3"/>
        <v>9.8421478063591437</v>
      </c>
    </row>
    <row r="66" spans="1:8">
      <c r="A66" s="5" t="s">
        <v>39</v>
      </c>
      <c r="B66" s="7">
        <v>3.2</v>
      </c>
      <c r="C66" s="10">
        <f>Master_Data!E118</f>
        <v>1.3708</v>
      </c>
      <c r="D66" s="10">
        <f>Master_Data!E131</f>
        <v>1.3875999999999999</v>
      </c>
      <c r="E66" s="10">
        <f t="shared" ref="E66:E97" si="4">ABS(D66-C66)</f>
        <v>1.6799999999999926E-2</v>
      </c>
      <c r="F66" s="11">
        <f>Master_Data!L118</f>
        <v>50.65938884981157</v>
      </c>
      <c r="G66" s="11">
        <f>Master_Data!L131</f>
        <v>63.67295762745924</v>
      </c>
      <c r="H66" s="11">
        <f t="shared" ref="H66:H97" si="5">ABS(G66-F66)</f>
        <v>13.01356877764767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Master_Data</vt:lpstr>
      <vt:lpstr>Pair_Discrimination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Mizanur Rahman</dc:creator>
  <cp:lastModifiedBy>Mizanur Rahman</cp:lastModifiedBy>
  <dcterms:created xsi:type="dcterms:W3CDTF">2026-08-11T11:42:16Z</dcterms:created>
  <dcterms:modified xsi:type="dcterms:W3CDTF">2026-08-11T11:42:16Z</dcterms:modified>
</cp:coreProperties>
</file>